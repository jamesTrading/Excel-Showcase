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https://d.docs.live.net/e3dc7f231aa9e1eb/Desktop/"/>
    </mc:Choice>
  </mc:AlternateContent>
  <xr:revisionPtr revIDLastSave="7" documentId="8_{6C4F26C8-1390-4062-8011-C0BE147F9610}" xr6:coauthVersionLast="45" xr6:coauthVersionMax="45" xr10:uidLastSave="{681C34E3-F47C-4A92-8238-B4A266E00DAD}"/>
  <bookViews>
    <workbookView xWindow="-108" yWindow="-108" windowWidth="23256" windowHeight="12576" firstSheet="1" activeTab="1" xr2:uid="{54708210-5617-47A2-8415-FD0B9F0F6028}"/>
  </bookViews>
  <sheets>
    <sheet name="Completed Transactions" sheetId="1" state="hidden" r:id="rId1"/>
    <sheet name="Investments" sheetId="11" r:id="rId2"/>
    <sheet name="Portfolio Value Tracker" sheetId="13" state="hidden" r:id="rId3"/>
    <sheet name="Australian Transactions" sheetId="2" r:id="rId4"/>
    <sheet name="AUS Calculations" sheetId="6" r:id="rId5"/>
    <sheet name="Australian Portfolio" sheetId="4" r:id="rId6"/>
    <sheet name="Dividend" sheetId="15" state="hidden" r:id="rId7"/>
    <sheet name="Joint Portfolio" sheetId="20" state="hidden" r:id="rId8"/>
    <sheet name="American Transactions" sheetId="7" state="hidden" r:id="rId9"/>
    <sheet name="American Calculations" sheetId="8" state="hidden" r:id="rId10"/>
    <sheet name="American Portfolio" sheetId="9"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4" i="20" l="1" a="1"/>
  <c r="AC4" i="20" s="1"/>
  <c r="AC5" i="20" a="1"/>
  <c r="AC5" i="20" s="1"/>
  <c r="AC6" i="20" a="1"/>
  <c r="AC6" i="20" s="1"/>
  <c r="AC7" i="20" a="1"/>
  <c r="AC7" i="20" s="1"/>
  <c r="AC8" i="20" a="1"/>
  <c r="AC8" i="20" s="1"/>
  <c r="AC9" i="20" a="1"/>
  <c r="AC9" i="20" s="1"/>
  <c r="AC10" i="20" a="1"/>
  <c r="AC10" i="20" s="1"/>
  <c r="AC11" i="20" a="1"/>
  <c r="AC11" i="20" s="1"/>
  <c r="AC12" i="20" a="1"/>
  <c r="AC12" i="20" s="1"/>
  <c r="AC13" i="20" a="1"/>
  <c r="AC13" i="20" s="1"/>
  <c r="AC2" i="20" a="1"/>
  <c r="AC2" i="20" s="1"/>
  <c r="AB3" i="20" a="1"/>
  <c r="AB3" i="20" s="1"/>
  <c r="AB4" i="20" a="1"/>
  <c r="AB4" i="20" s="1"/>
  <c r="AB5" i="20" a="1"/>
  <c r="AB5" i="20" s="1"/>
  <c r="AB6" i="20" a="1"/>
  <c r="AB6" i="20" s="1"/>
  <c r="AB7" i="20" a="1"/>
  <c r="AB7" i="20" s="1"/>
  <c r="AB8" i="20" a="1"/>
  <c r="AB8" i="20" s="1"/>
  <c r="AB9" i="20" a="1"/>
  <c r="AB9" i="20" s="1"/>
  <c r="AB10" i="20" a="1"/>
  <c r="AB10" i="20" s="1"/>
  <c r="AB11" i="20" a="1"/>
  <c r="AB11" i="20" s="1"/>
  <c r="AB12" i="20" a="1"/>
  <c r="AB12" i="20" s="1"/>
  <c r="AB13" i="20" a="1"/>
  <c r="AB13" i="20" s="1"/>
  <c r="AB14" i="20" a="1"/>
  <c r="AB14" i="20" s="1"/>
  <c r="AB2" i="20" a="1"/>
  <c r="AB2" i="20" s="1"/>
  <c r="J7" i="20" l="1"/>
  <c r="J8" i="20"/>
  <c r="J9" i="20"/>
  <c r="J10" i="20"/>
  <c r="J11" i="20"/>
  <c r="J12" i="20"/>
  <c r="J13" i="20"/>
  <c r="J14" i="20"/>
  <c r="J15" i="20"/>
  <c r="J16" i="20"/>
  <c r="J17" i="20"/>
  <c r="J18" i="20"/>
  <c r="J19" i="20"/>
  <c r="J20" i="20"/>
  <c r="J21" i="20"/>
  <c r="V15" i="20"/>
  <c r="V16" i="20"/>
  <c r="V17" i="20"/>
  <c r="V18" i="20"/>
  <c r="V19" i="20"/>
  <c r="V20" i="20"/>
  <c r="M41" i="20"/>
  <c r="M42" i="20"/>
  <c r="M43" i="20"/>
  <c r="M44" i="20"/>
  <c r="M45" i="20"/>
  <c r="M46" i="20"/>
  <c r="M47" i="20"/>
  <c r="M48" i="20"/>
  <c r="M49" i="20"/>
  <c r="M50" i="20"/>
  <c r="R15" i="20"/>
  <c r="S15" i="20"/>
  <c r="T15" i="20"/>
  <c r="U15" i="20"/>
  <c r="W15" i="20"/>
  <c r="X15" i="20"/>
  <c r="Y15" i="20"/>
  <c r="R16" i="20"/>
  <c r="S16" i="20"/>
  <c r="T16" i="20"/>
  <c r="U16" i="20"/>
  <c r="W16" i="20"/>
  <c r="X16" i="20"/>
  <c r="Y16" i="20"/>
  <c r="R17" i="20"/>
  <c r="S17" i="20"/>
  <c r="T17" i="20"/>
  <c r="U17" i="20"/>
  <c r="W17" i="20"/>
  <c r="X17" i="20"/>
  <c r="Y17" i="20"/>
  <c r="R18" i="20"/>
  <c r="S18" i="20"/>
  <c r="T18" i="20"/>
  <c r="U18" i="20"/>
  <c r="W18" i="20"/>
  <c r="X18" i="20"/>
  <c r="Y18" i="20"/>
  <c r="R19" i="20"/>
  <c r="S19" i="20"/>
  <c r="T19" i="20"/>
  <c r="U19" i="20"/>
  <c r="W19" i="20"/>
  <c r="X19" i="20"/>
  <c r="Y19" i="20"/>
  <c r="R20" i="20"/>
  <c r="S20" i="20"/>
  <c r="T20" i="20"/>
  <c r="U20" i="20"/>
  <c r="W20" i="20"/>
  <c r="X20" i="20"/>
  <c r="Y20" i="20"/>
  <c r="R21" i="20"/>
  <c r="S21" i="20"/>
  <c r="T21" i="20"/>
  <c r="U21" i="20"/>
  <c r="V21" i="20"/>
  <c r="W21" i="20"/>
  <c r="X21" i="20"/>
  <c r="Y21" i="20"/>
  <c r="R22" i="20"/>
  <c r="S22" i="20"/>
  <c r="T22" i="20"/>
  <c r="U22" i="20"/>
  <c r="V22" i="20"/>
  <c r="W22" i="20"/>
  <c r="X22" i="20"/>
  <c r="Y22" i="20"/>
  <c r="R23" i="20"/>
  <c r="S23" i="20"/>
  <c r="T23" i="20"/>
  <c r="U23" i="20"/>
  <c r="V23" i="20"/>
  <c r="W23" i="20"/>
  <c r="X23" i="20"/>
  <c r="Y23" i="20"/>
  <c r="R24" i="20"/>
  <c r="S24" i="20"/>
  <c r="T24" i="20"/>
  <c r="U24" i="20"/>
  <c r="V24" i="20"/>
  <c r="W24" i="20"/>
  <c r="X24" i="20"/>
  <c r="Y24" i="20"/>
  <c r="R25" i="20"/>
  <c r="S25" i="20"/>
  <c r="T25" i="20"/>
  <c r="U25" i="20"/>
  <c r="V25" i="20"/>
  <c r="W25" i="20"/>
  <c r="X25" i="20"/>
  <c r="Y25" i="20"/>
  <c r="Q15" i="20"/>
  <c r="Q16" i="20"/>
  <c r="Q17" i="20"/>
  <c r="Q18" i="20"/>
  <c r="Q19" i="20"/>
  <c r="Q20" i="20"/>
  <c r="Q21" i="20"/>
  <c r="Q22" i="20"/>
  <c r="P15" i="20"/>
  <c r="P16" i="20"/>
  <c r="P17" i="20"/>
  <c r="P18" i="20"/>
  <c r="P19" i="20"/>
  <c r="P20" i="20"/>
  <c r="P21" i="20"/>
  <c r="B23" i="20" l="1"/>
  <c r="B24" i="20"/>
  <c r="B25" i="20"/>
  <c r="B26" i="20"/>
  <c r="B27" i="20"/>
  <c r="B28" i="20"/>
  <c r="B29" i="20"/>
  <c r="B30" i="20"/>
  <c r="E31" i="20"/>
  <c r="F31" i="20"/>
  <c r="E32" i="20"/>
  <c r="F32" i="20"/>
  <c r="E33" i="20"/>
  <c r="F33" i="20"/>
  <c r="E34" i="20"/>
  <c r="F34" i="20"/>
  <c r="E36" i="20"/>
  <c r="F36" i="20"/>
  <c r="E37" i="20"/>
  <c r="F37" i="20"/>
  <c r="E39" i="20"/>
  <c r="F39" i="20"/>
  <c r="E40" i="20"/>
  <c r="F40" i="20"/>
  <c r="B22" i="20"/>
  <c r="B3" i="20"/>
  <c r="C3" i="20"/>
  <c r="D3" i="20"/>
  <c r="H3" i="20"/>
  <c r="K3" i="20"/>
  <c r="B4" i="20"/>
  <c r="C4" i="20"/>
  <c r="D4" i="20"/>
  <c r="H4" i="20"/>
  <c r="K4" i="20"/>
  <c r="B5" i="20"/>
  <c r="C5" i="20"/>
  <c r="D5" i="20"/>
  <c r="H5" i="20"/>
  <c r="K5" i="20"/>
  <c r="C6" i="20"/>
  <c r="D6" i="20"/>
  <c r="H6" i="20"/>
  <c r="K6" i="20"/>
  <c r="C7" i="20"/>
  <c r="D7" i="20"/>
  <c r="E7" i="20"/>
  <c r="F7" i="20"/>
  <c r="G7" i="20"/>
  <c r="H7" i="20"/>
  <c r="I7" i="20"/>
  <c r="K7" i="20"/>
  <c r="C8" i="20"/>
  <c r="D8" i="20"/>
  <c r="E8" i="20"/>
  <c r="F8" i="20"/>
  <c r="G8" i="20"/>
  <c r="H8" i="20"/>
  <c r="I8" i="20"/>
  <c r="K8" i="20"/>
  <c r="C9" i="20"/>
  <c r="D9" i="20"/>
  <c r="E9" i="20"/>
  <c r="F9" i="20"/>
  <c r="G9" i="20"/>
  <c r="H9" i="20"/>
  <c r="I9" i="20"/>
  <c r="K9" i="20"/>
  <c r="C10" i="20"/>
  <c r="D10" i="20"/>
  <c r="E10" i="20"/>
  <c r="F10" i="20"/>
  <c r="G10" i="20"/>
  <c r="H10" i="20"/>
  <c r="I10" i="20"/>
  <c r="K10" i="20"/>
  <c r="C11" i="20"/>
  <c r="D11" i="20"/>
  <c r="E11" i="20"/>
  <c r="F11" i="20"/>
  <c r="G11" i="20"/>
  <c r="H11" i="20"/>
  <c r="I11" i="20"/>
  <c r="K11" i="20"/>
  <c r="C12" i="20"/>
  <c r="D12" i="20"/>
  <c r="E12" i="20"/>
  <c r="F12" i="20"/>
  <c r="G12" i="20"/>
  <c r="H12" i="20"/>
  <c r="I12" i="20"/>
  <c r="K12" i="20"/>
  <c r="C13" i="20"/>
  <c r="D13" i="20"/>
  <c r="E13" i="20"/>
  <c r="F13" i="20"/>
  <c r="G13" i="20"/>
  <c r="H13" i="20"/>
  <c r="I13" i="20"/>
  <c r="K13" i="20"/>
  <c r="C14" i="20"/>
  <c r="D14" i="20"/>
  <c r="E14" i="20"/>
  <c r="F14" i="20"/>
  <c r="G14" i="20"/>
  <c r="H14" i="20"/>
  <c r="I14" i="20"/>
  <c r="K14" i="20"/>
  <c r="C15" i="20"/>
  <c r="D15" i="20"/>
  <c r="E15" i="20"/>
  <c r="F15" i="20"/>
  <c r="G15" i="20"/>
  <c r="H15" i="20"/>
  <c r="I15" i="20"/>
  <c r="K15" i="20"/>
  <c r="C16" i="20"/>
  <c r="D16" i="20"/>
  <c r="E16" i="20"/>
  <c r="F16" i="20"/>
  <c r="G16" i="20"/>
  <c r="H16" i="20"/>
  <c r="I16" i="20"/>
  <c r="K16" i="20"/>
  <c r="C17" i="20"/>
  <c r="D17" i="20"/>
  <c r="E17" i="20"/>
  <c r="F17" i="20"/>
  <c r="G17" i="20"/>
  <c r="H17" i="20"/>
  <c r="I17" i="20"/>
  <c r="K17" i="20"/>
  <c r="C18" i="20"/>
  <c r="D18" i="20"/>
  <c r="E18" i="20"/>
  <c r="F18" i="20"/>
  <c r="G18" i="20"/>
  <c r="H18" i="20"/>
  <c r="I18" i="20"/>
  <c r="K18" i="20"/>
  <c r="C19" i="20"/>
  <c r="D19" i="20"/>
  <c r="E19" i="20"/>
  <c r="F19" i="20"/>
  <c r="G19" i="20"/>
  <c r="H19" i="20"/>
  <c r="I19" i="20"/>
  <c r="K19" i="20"/>
  <c r="C20" i="20"/>
  <c r="D20" i="20"/>
  <c r="E20" i="20"/>
  <c r="F20" i="20"/>
  <c r="G20" i="20"/>
  <c r="H20" i="20"/>
  <c r="I20" i="20"/>
  <c r="K20" i="20"/>
  <c r="C21" i="20"/>
  <c r="D21" i="20"/>
  <c r="E21" i="20"/>
  <c r="F21" i="20"/>
  <c r="G21" i="20"/>
  <c r="H21" i="20"/>
  <c r="I21" i="20"/>
  <c r="K21" i="20"/>
  <c r="C2" i="20"/>
  <c r="D2" i="20"/>
  <c r="H2" i="20"/>
  <c r="K2" i="20"/>
  <c r="B2" i="20"/>
  <c r="A6" i="4"/>
  <c r="H6" i="4" s="1"/>
  <c r="A2" i="20" a="1"/>
  <c r="A2" i="20" s="1"/>
  <c r="K3" i="4"/>
  <c r="K4" i="4"/>
  <c r="K5" i="4"/>
  <c r="K6" i="4"/>
  <c r="K7" i="4"/>
  <c r="K8" i="4"/>
  <c r="K9" i="4"/>
  <c r="K10" i="4"/>
  <c r="K11" i="4"/>
  <c r="K12" i="4"/>
  <c r="K13" i="4"/>
  <c r="K14" i="4"/>
  <c r="K15" i="4"/>
  <c r="K16" i="4"/>
  <c r="K17" i="4"/>
  <c r="K18" i="4"/>
  <c r="K19" i="4"/>
  <c r="K20" i="4"/>
  <c r="K2" i="4"/>
  <c r="H3" i="4"/>
  <c r="H4" i="4"/>
  <c r="H5" i="4"/>
  <c r="H7" i="4"/>
  <c r="H8" i="4"/>
  <c r="H9" i="4"/>
  <c r="H10" i="4"/>
  <c r="H11" i="4"/>
  <c r="H12" i="4"/>
  <c r="H13" i="4"/>
  <c r="H14" i="4"/>
  <c r="H15" i="4"/>
  <c r="H16" i="4"/>
  <c r="H17" i="4"/>
  <c r="H18" i="4"/>
  <c r="H19" i="4"/>
  <c r="H20" i="4"/>
  <c r="H2" i="4"/>
  <c r="D3" i="4"/>
  <c r="D4" i="4"/>
  <c r="D5" i="4"/>
  <c r="D6" i="4"/>
  <c r="D7" i="4"/>
  <c r="D8" i="4"/>
  <c r="D9" i="4"/>
  <c r="D10" i="4"/>
  <c r="D11" i="4"/>
  <c r="D12" i="4"/>
  <c r="D13" i="4"/>
  <c r="D14" i="4"/>
  <c r="D15" i="4"/>
  <c r="D16" i="4"/>
  <c r="D17" i="4"/>
  <c r="D18" i="4"/>
  <c r="D19" i="4"/>
  <c r="D20" i="4"/>
  <c r="D2" i="4"/>
  <c r="C3" i="4"/>
  <c r="C4" i="4"/>
  <c r="C5" i="4"/>
  <c r="C6" i="4"/>
  <c r="C7" i="4"/>
  <c r="C8" i="4"/>
  <c r="C9" i="4"/>
  <c r="C10" i="4"/>
  <c r="C11" i="4"/>
  <c r="C12" i="4"/>
  <c r="C13" i="4"/>
  <c r="C14" i="4"/>
  <c r="C15" i="4"/>
  <c r="C16" i="4"/>
  <c r="C17" i="4"/>
  <c r="C18" i="4"/>
  <c r="C19" i="4"/>
  <c r="C20" i="4"/>
  <c r="C2" i="4"/>
  <c r="A2" i="4" a="1"/>
  <c r="A2" i="4" s="1"/>
  <c r="U4" i="6"/>
  <c r="V4" i="6"/>
  <c r="W4" i="6"/>
  <c r="X4" i="6"/>
  <c r="Y4" i="6"/>
  <c r="U5" i="6"/>
  <c r="V5" i="6"/>
  <c r="W5" i="6"/>
  <c r="X5" i="6"/>
  <c r="Y5" i="6"/>
  <c r="U6" i="6"/>
  <c r="V6" i="6"/>
  <c r="W6" i="6"/>
  <c r="X6" i="6"/>
  <c r="Y6" i="6"/>
  <c r="U7" i="6"/>
  <c r="V7" i="6"/>
  <c r="W7" i="6"/>
  <c r="X7" i="6"/>
  <c r="Y7" i="6"/>
  <c r="U8" i="6"/>
  <c r="V8" i="6"/>
  <c r="W8" i="6"/>
  <c r="X8" i="6"/>
  <c r="Y8" i="6"/>
  <c r="U9" i="6"/>
  <c r="V9" i="6"/>
  <c r="W9" i="6"/>
  <c r="X9" i="6"/>
  <c r="Y9" i="6"/>
  <c r="U10" i="6"/>
  <c r="V10" i="6"/>
  <c r="W10" i="6"/>
  <c r="X10" i="6"/>
  <c r="Y10" i="6"/>
  <c r="U11" i="6"/>
  <c r="V11" i="6"/>
  <c r="W11" i="6"/>
  <c r="X11" i="6"/>
  <c r="Y11" i="6"/>
  <c r="U12" i="6"/>
  <c r="V12" i="6"/>
  <c r="W12" i="6"/>
  <c r="X12" i="6"/>
  <c r="Y12" i="6"/>
  <c r="U13" i="6"/>
  <c r="V13" i="6"/>
  <c r="W13" i="6"/>
  <c r="X13" i="6"/>
  <c r="Y13" i="6"/>
  <c r="U14" i="6"/>
  <c r="V14" i="6"/>
  <c r="W14" i="6"/>
  <c r="X14" i="6"/>
  <c r="Y14" i="6"/>
  <c r="U15" i="6"/>
  <c r="V15" i="6"/>
  <c r="W15" i="6"/>
  <c r="X15" i="6"/>
  <c r="Y15" i="6"/>
  <c r="U16" i="6"/>
  <c r="V16" i="6"/>
  <c r="W16" i="6"/>
  <c r="X16" i="6"/>
  <c r="Y16" i="6"/>
  <c r="U17" i="6"/>
  <c r="V17" i="6"/>
  <c r="W17" i="6"/>
  <c r="X17" i="6"/>
  <c r="Y17" i="6"/>
  <c r="U18" i="6"/>
  <c r="V18" i="6"/>
  <c r="W18" i="6"/>
  <c r="X18" i="6"/>
  <c r="Y18" i="6"/>
  <c r="U19" i="6"/>
  <c r="V19" i="6"/>
  <c r="W19" i="6"/>
  <c r="X19" i="6"/>
  <c r="Y19" i="6"/>
  <c r="U20" i="6"/>
  <c r="V20" i="6"/>
  <c r="W20" i="6"/>
  <c r="X20" i="6"/>
  <c r="Y20" i="6"/>
  <c r="U21" i="6"/>
  <c r="V21" i="6"/>
  <c r="W21" i="6"/>
  <c r="X21" i="6"/>
  <c r="Y21" i="6"/>
  <c r="V3" i="6"/>
  <c r="W3" i="6"/>
  <c r="X3" i="6"/>
  <c r="Y3" i="6"/>
  <c r="U3" i="6"/>
  <c r="V2" i="6"/>
  <c r="W2" i="6"/>
  <c r="X2" i="6"/>
  <c r="Y2" i="6"/>
  <c r="U2" i="6"/>
  <c r="K11" i="9"/>
  <c r="K31" i="20" s="1"/>
  <c r="K12" i="9"/>
  <c r="K32" i="20" s="1"/>
  <c r="K13" i="9"/>
  <c r="K33" i="20" s="1"/>
  <c r="K14" i="9"/>
  <c r="K34" i="20" s="1"/>
  <c r="K16" i="9"/>
  <c r="K36" i="20" s="1"/>
  <c r="K17" i="9"/>
  <c r="K37" i="20" s="1"/>
  <c r="K18" i="9"/>
  <c r="K38" i="20" s="1"/>
  <c r="K19" i="9"/>
  <c r="K39" i="20" s="1"/>
  <c r="K20" i="9"/>
  <c r="K40" i="20" s="1"/>
  <c r="H11" i="9"/>
  <c r="H12" i="9"/>
  <c r="H13" i="9"/>
  <c r="H14" i="9"/>
  <c r="H16" i="9"/>
  <c r="H17" i="9"/>
  <c r="H18" i="9"/>
  <c r="H19" i="9"/>
  <c r="H39" i="20" s="1"/>
  <c r="H20" i="9"/>
  <c r="H40" i="20" s="1"/>
  <c r="D11" i="9"/>
  <c r="D31" i="20" s="1"/>
  <c r="D12" i="9"/>
  <c r="D32" i="20" s="1"/>
  <c r="D13" i="9"/>
  <c r="D33" i="20" s="1"/>
  <c r="D14" i="9"/>
  <c r="D34" i="20" s="1"/>
  <c r="D16" i="9"/>
  <c r="D36" i="20" s="1"/>
  <c r="D17" i="9"/>
  <c r="D37" i="20" s="1"/>
  <c r="D18" i="9"/>
  <c r="D38" i="20" s="1"/>
  <c r="D19" i="9"/>
  <c r="D39" i="20" s="1"/>
  <c r="D20" i="9"/>
  <c r="D40" i="20" s="1"/>
  <c r="C11" i="9"/>
  <c r="C12" i="9"/>
  <c r="C13" i="9"/>
  <c r="C14" i="9"/>
  <c r="C16" i="9"/>
  <c r="C17" i="9"/>
  <c r="C18" i="9"/>
  <c r="C19" i="9"/>
  <c r="C20" i="9"/>
  <c r="C21" i="9"/>
  <c r="G23" i="1"/>
  <c r="L14" i="9" l="1"/>
  <c r="L34" i="20" s="1"/>
  <c r="E14" i="9" a="1"/>
  <c r="E14" i="9" s="1"/>
  <c r="F14" i="9" a="1"/>
  <c r="F14" i="9" s="1"/>
  <c r="L11" i="9"/>
  <c r="L31" i="20" s="1"/>
  <c r="E11" i="9" a="1"/>
  <c r="E11" i="9" s="1"/>
  <c r="F11" i="9" a="1"/>
  <c r="F11" i="9" s="1"/>
  <c r="L4" i="4" l="1"/>
  <c r="L4" i="20" s="1"/>
  <c r="L5" i="4"/>
  <c r="L5" i="20" s="1"/>
  <c r="L6" i="4"/>
  <c r="L6" i="20" s="1"/>
  <c r="L7" i="4"/>
  <c r="L7" i="20" s="1"/>
  <c r="L8" i="4"/>
  <c r="L8" i="20" s="1"/>
  <c r="L9" i="4"/>
  <c r="L9" i="20" s="1"/>
  <c r="L10" i="4"/>
  <c r="L10" i="20" s="1"/>
  <c r="L11" i="4"/>
  <c r="L11" i="20" s="1"/>
  <c r="L12" i="4"/>
  <c r="L12" i="20" s="1"/>
  <c r="L13" i="4"/>
  <c r="L13" i="20" s="1"/>
  <c r="L14" i="4"/>
  <c r="L14" i="20" s="1"/>
  <c r="L15" i="4"/>
  <c r="L15" i="20" s="1"/>
  <c r="L16" i="4"/>
  <c r="L16" i="20" s="1"/>
  <c r="L17" i="4"/>
  <c r="L17" i="20" s="1"/>
  <c r="L18" i="4"/>
  <c r="L18" i="20" s="1"/>
  <c r="L19" i="4"/>
  <c r="L19" i="20" s="1"/>
  <c r="L20" i="4"/>
  <c r="L20" i="20" s="1"/>
  <c r="L3" i="4"/>
  <c r="L3" i="20" s="1"/>
  <c r="L16" i="9"/>
  <c r="L36" i="20" s="1"/>
  <c r="L17" i="9"/>
  <c r="L37" i="20" s="1"/>
  <c r="L18" i="9"/>
  <c r="L38" i="20" s="1"/>
  <c r="L19" i="9"/>
  <c r="L39" i="20" s="1"/>
  <c r="L20" i="9"/>
  <c r="L40" i="20" s="1"/>
  <c r="L2" i="4"/>
  <c r="L2" i="20" s="1"/>
  <c r="B3" i="11" l="1" a="1"/>
  <c r="B3" i="11" s="1"/>
  <c r="B4" i="11" a="1"/>
  <c r="B4" i="11" s="1"/>
  <c r="B5" i="11" a="1"/>
  <c r="B5" i="11" s="1"/>
  <c r="B6" i="11" a="1"/>
  <c r="B6" i="11" s="1"/>
  <c r="B11" i="11" a="1"/>
  <c r="B11" i="11" s="1"/>
  <c r="B12" i="11" a="1"/>
  <c r="B12" i="11" s="1"/>
  <c r="C8" i="13"/>
  <c r="C10" i="13"/>
  <c r="E5" i="2"/>
  <c r="E6" i="2"/>
  <c r="E7" i="2"/>
  <c r="E8" i="2"/>
  <c r="E9" i="2"/>
  <c r="E10" i="2"/>
  <c r="E11" i="2"/>
  <c r="E12" i="2"/>
  <c r="E13" i="2"/>
  <c r="E14" i="2"/>
  <c r="E15" i="2"/>
  <c r="F4" i="11" l="1"/>
  <c r="E16" i="2"/>
  <c r="B2" i="11" l="1" a="1"/>
  <c r="B2" i="11" s="1"/>
  <c r="B8" i="13"/>
  <c r="B10" i="13"/>
  <c r="E17" i="2"/>
  <c r="E18" i="2"/>
  <c r="D10" i="13"/>
  <c r="E10" i="13"/>
  <c r="F10" i="13"/>
  <c r="G10" i="13"/>
  <c r="H10" i="13"/>
  <c r="I10" i="13"/>
  <c r="J10" i="13"/>
  <c r="K10" i="13"/>
  <c r="L10" i="13"/>
  <c r="M10" i="13"/>
  <c r="N10" i="13"/>
  <c r="O10" i="13"/>
  <c r="P10" i="13"/>
  <c r="Q10" i="13"/>
  <c r="R10" i="13"/>
  <c r="S10" i="13"/>
  <c r="T10" i="13"/>
  <c r="U10" i="13"/>
  <c r="V10" i="13"/>
  <c r="W10" i="13"/>
  <c r="X10" i="13"/>
  <c r="Y10" i="13"/>
  <c r="Z10" i="13"/>
  <c r="AA10" i="13"/>
  <c r="AB10" i="13"/>
  <c r="AC10" i="13"/>
  <c r="AD10" i="13"/>
  <c r="AE10" i="13"/>
  <c r="AF10" i="13"/>
  <c r="AG10" i="13"/>
  <c r="AH10" i="13"/>
  <c r="AI10" i="13"/>
  <c r="AJ10" i="13"/>
  <c r="AK10" i="13"/>
  <c r="AL10" i="13"/>
  <c r="AM10" i="13"/>
  <c r="AN10" i="13"/>
  <c r="AO10" i="13"/>
  <c r="AP10" i="13"/>
  <c r="AQ10" i="13"/>
  <c r="AR10" i="13"/>
  <c r="AS10" i="13"/>
  <c r="E14" i="13"/>
  <c r="D8" i="13"/>
  <c r="E8" i="13"/>
  <c r="F8" i="13"/>
  <c r="G8" i="13"/>
  <c r="H8" i="13"/>
  <c r="I8" i="13"/>
  <c r="J8" i="13"/>
  <c r="K8" i="13"/>
  <c r="L8" i="13"/>
  <c r="M8" i="13"/>
  <c r="N8" i="13"/>
  <c r="O8" i="13"/>
  <c r="P8" i="13"/>
  <c r="Q8" i="13"/>
  <c r="R8" i="13"/>
  <c r="S8" i="13"/>
  <c r="T8" i="13"/>
  <c r="U8" i="13"/>
  <c r="V8" i="13"/>
  <c r="W8" i="13"/>
  <c r="X8" i="13"/>
  <c r="Y8" i="13"/>
  <c r="Z8" i="13"/>
  <c r="AA8" i="13"/>
  <c r="AB8" i="13"/>
  <c r="AC8" i="13"/>
  <c r="AD8" i="13"/>
  <c r="AE8" i="13"/>
  <c r="AF8" i="13"/>
  <c r="AG8" i="13"/>
  <c r="AH8" i="13"/>
  <c r="AI8" i="13"/>
  <c r="AJ8" i="13"/>
  <c r="AK8" i="13"/>
  <c r="AL8" i="13"/>
  <c r="AM8" i="13"/>
  <c r="AN8" i="13"/>
  <c r="AO8" i="13"/>
  <c r="AP8" i="13"/>
  <c r="AQ8" i="13"/>
  <c r="AR8" i="13"/>
  <c r="AS8" i="13"/>
  <c r="B7" i="11" l="1" a="1"/>
  <c r="B7" i="11" s="1"/>
  <c r="B9" i="11" a="1"/>
  <c r="B9" i="11" s="1"/>
  <c r="A16" i="13"/>
  <c r="B15" i="13" s="1"/>
  <c r="E15" i="13" s="1"/>
  <c r="F8" i="11" l="1"/>
  <c r="B10" i="11"/>
  <c r="F10" i="11" s="1"/>
  <c r="F2" i="11"/>
  <c r="F6" i="11" s="1"/>
  <c r="B8" i="11"/>
  <c r="F7" i="4" a="1"/>
  <c r="F7" i="4" s="1"/>
  <c r="F8" i="4" a="1"/>
  <c r="F8" i="4"/>
  <c r="F9" i="4" a="1"/>
  <c r="F9" i="4" s="1"/>
  <c r="F10" i="4" a="1"/>
  <c r="F10" i="4"/>
  <c r="F11" i="4" a="1"/>
  <c r="F11" i="4" s="1"/>
  <c r="F12" i="4" a="1"/>
  <c r="F12" i="4"/>
  <c r="F13" i="4" a="1"/>
  <c r="F13" i="4" s="1"/>
  <c r="F14" i="4" a="1"/>
  <c r="F14" i="4"/>
  <c r="F15" i="4" a="1"/>
  <c r="F15" i="4" s="1"/>
  <c r="F16" i="4" a="1"/>
  <c r="F16" i="4" s="1"/>
  <c r="F17" i="4" a="1"/>
  <c r="F17" i="4" s="1"/>
  <c r="F18" i="4" a="1"/>
  <c r="F18" i="4"/>
  <c r="F19" i="4" a="1"/>
  <c r="F19" i="4" s="1"/>
  <c r="F20" i="4" a="1"/>
  <c r="F20" i="4"/>
  <c r="F21" i="4" a="1"/>
  <c r="F21" i="4" s="1"/>
  <c r="H21" i="4"/>
  <c r="F16" i="9" l="1" a="1"/>
  <c r="F16" i="9"/>
  <c r="F17" i="9" a="1"/>
  <c r="F17" i="9" s="1"/>
  <c r="F18" i="9" a="1"/>
  <c r="F18" i="9" s="1"/>
  <c r="F38" i="20" s="1"/>
  <c r="F19" i="9" a="1"/>
  <c r="F19" i="9" s="1"/>
  <c r="F20" i="9" a="1"/>
  <c r="F20" i="9"/>
  <c r="F21" i="9" a="1"/>
  <c r="F21" i="9" s="1"/>
  <c r="E16" i="9" a="1"/>
  <c r="E16" i="9"/>
  <c r="E17" i="9" a="1"/>
  <c r="E17" i="9" s="1"/>
  <c r="E18" i="9" a="1"/>
  <c r="E18" i="9" s="1"/>
  <c r="E38" i="20" s="1"/>
  <c r="E19" i="9" a="1"/>
  <c r="E19" i="9" s="1"/>
  <c r="E20" i="9" a="1"/>
  <c r="E20" i="9"/>
  <c r="E21" i="9" a="1"/>
  <c r="E21" i="9" s="1"/>
  <c r="E7" i="4" a="1"/>
  <c r="E7" i="4" s="1"/>
  <c r="E8" i="4" a="1"/>
  <c r="E8" i="4"/>
  <c r="E9" i="4" a="1"/>
  <c r="E9" i="4" s="1"/>
  <c r="E10" i="4" a="1"/>
  <c r="E10" i="4"/>
  <c r="E11" i="4" a="1"/>
  <c r="E11" i="4" s="1"/>
  <c r="E12" i="4" a="1"/>
  <c r="E12" i="4"/>
  <c r="E13" i="4" a="1"/>
  <c r="E13" i="4" s="1"/>
  <c r="E14" i="4" a="1"/>
  <c r="E14" i="4"/>
  <c r="E15" i="4" a="1"/>
  <c r="E15" i="4" s="1"/>
  <c r="E16" i="4" a="1"/>
  <c r="E16" i="4" s="1"/>
  <c r="E17" i="4" a="1"/>
  <c r="E17" i="4" s="1"/>
  <c r="E18" i="4" a="1"/>
  <c r="E18" i="4"/>
  <c r="E19" i="4" a="1"/>
  <c r="E19" i="4" s="1"/>
  <c r="E20" i="4" a="1"/>
  <c r="E20" i="4"/>
  <c r="E21" i="4" a="1"/>
  <c r="E21" i="4" s="1"/>
  <c r="E15" i="7"/>
  <c r="E16" i="7"/>
  <c r="E17" i="7"/>
  <c r="I7" i="4"/>
  <c r="J7" i="4" s="1"/>
  <c r="I8" i="4"/>
  <c r="J8" i="4" s="1"/>
  <c r="I9" i="4"/>
  <c r="J9" i="4" s="1"/>
  <c r="A7" i="4"/>
  <c r="A8" i="4"/>
  <c r="I11" i="4"/>
  <c r="J11" i="4" s="1"/>
  <c r="G8" i="4" l="1"/>
  <c r="G9" i="4"/>
  <c r="G11" i="4"/>
  <c r="I10" i="4"/>
  <c r="J10" i="4" s="1"/>
  <c r="G10" i="4"/>
  <c r="G7" i="4"/>
  <c r="E18" i="7" l="1"/>
  <c r="E19" i="7"/>
  <c r="E20" i="7"/>
  <c r="E21" i="7"/>
  <c r="E14" i="7"/>
  <c r="E22" i="7"/>
  <c r="E23" i="7"/>
  <c r="E24" i="7"/>
  <c r="E25" i="7"/>
  <c r="E26" i="7"/>
  <c r="E27" i="7"/>
  <c r="E28" i="7"/>
  <c r="E29" i="7"/>
  <c r="E21" i="11"/>
  <c r="E22" i="11"/>
  <c r="E23"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A17" i="9" l="1"/>
  <c r="A18" i="9"/>
  <c r="A19" i="9"/>
  <c r="A20" i="9"/>
  <c r="K21" i="9"/>
  <c r="S21" i="8"/>
  <c r="R21" i="8"/>
  <c r="Q21" i="8"/>
  <c r="P21" i="8"/>
  <c r="S20" i="8"/>
  <c r="R20" i="8"/>
  <c r="Q20" i="8"/>
  <c r="P20" i="8"/>
  <c r="S19" i="8"/>
  <c r="R19" i="8"/>
  <c r="Q19" i="8"/>
  <c r="P19" i="8"/>
  <c r="S18" i="8"/>
  <c r="R18" i="8"/>
  <c r="Q18" i="8"/>
  <c r="P18" i="8"/>
  <c r="S17" i="8"/>
  <c r="R17" i="8"/>
  <c r="Q17" i="8"/>
  <c r="P17" i="8"/>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Y17" i="8" l="1"/>
  <c r="X17" i="8"/>
  <c r="W17" i="8"/>
  <c r="V17" i="8"/>
  <c r="U17" i="8"/>
  <c r="U18" i="8"/>
  <c r="Y18" i="8"/>
  <c r="X18" i="8"/>
  <c r="W18" i="8"/>
  <c r="V18" i="8"/>
  <c r="Y19" i="8"/>
  <c r="X19" i="8"/>
  <c r="W19" i="8"/>
  <c r="V19" i="8"/>
  <c r="U19" i="8"/>
  <c r="Y20" i="8"/>
  <c r="X20" i="8"/>
  <c r="W20" i="8"/>
  <c r="V20" i="8"/>
  <c r="U20" i="8"/>
  <c r="Y21" i="8"/>
  <c r="X21" i="8"/>
  <c r="W21" i="8"/>
  <c r="V21" i="8"/>
  <c r="U21" i="8"/>
  <c r="I18" i="9"/>
  <c r="I38" i="20" s="1"/>
  <c r="M38" i="20" s="1"/>
  <c r="G18" i="9"/>
  <c r="G38" i="20" s="1"/>
  <c r="D21" i="9"/>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R11" i="6"/>
  <c r="R12" i="6"/>
  <c r="R13" i="6"/>
  <c r="R14" i="6"/>
  <c r="R15" i="6"/>
  <c r="R16" i="6"/>
  <c r="R17" i="6"/>
  <c r="R18" i="6"/>
  <c r="R19" i="6"/>
  <c r="R20" i="6"/>
  <c r="R21" i="6"/>
  <c r="R22" i="6"/>
  <c r="R23" i="6"/>
  <c r="R24" i="6"/>
  <c r="R25" i="6"/>
  <c r="R26" i="6"/>
  <c r="R27" i="6"/>
  <c r="R28" i="6"/>
  <c r="R29" i="6"/>
  <c r="R30" i="6"/>
  <c r="R31" i="6"/>
  <c r="R32" i="6"/>
  <c r="R33" i="6"/>
  <c r="R34" i="6"/>
  <c r="R35" i="6"/>
  <c r="R36" i="6"/>
  <c r="R37" i="6"/>
  <c r="R38" i="6"/>
  <c r="R39" i="6"/>
  <c r="R40" i="6"/>
  <c r="R41" i="6"/>
  <c r="R42" i="6"/>
  <c r="R43" i="6"/>
  <c r="R44" i="6"/>
  <c r="R45" i="6"/>
  <c r="R46" i="6"/>
  <c r="R47" i="6"/>
  <c r="R48" i="6"/>
  <c r="R49" i="6"/>
  <c r="R50" i="6"/>
  <c r="R51"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A11" i="4"/>
  <c r="A12" i="4"/>
  <c r="A13" i="4"/>
  <c r="A14" i="4"/>
  <c r="A15" i="4"/>
  <c r="A17" i="4"/>
  <c r="A18" i="4"/>
  <c r="A19" i="4"/>
  <c r="A20" i="4"/>
  <c r="P22" i="8"/>
  <c r="P23" i="8"/>
  <c r="P24" i="8"/>
  <c r="P25" i="8"/>
  <c r="P26" i="8"/>
  <c r="P27" i="8"/>
  <c r="P28" i="8"/>
  <c r="P29" i="8"/>
  <c r="P30" i="8"/>
  <c r="P31" i="8"/>
  <c r="P32" i="8"/>
  <c r="P33" i="8"/>
  <c r="P34" i="8"/>
  <c r="P35" i="8"/>
  <c r="P36" i="8"/>
  <c r="P37" i="8"/>
  <c r="P38" i="8"/>
  <c r="P39" i="8"/>
  <c r="P40" i="8"/>
  <c r="P41" i="8"/>
  <c r="P42" i="8"/>
  <c r="D3" i="8"/>
  <c r="D4" i="8"/>
  <c r="D5" i="8"/>
  <c r="D6" i="8"/>
  <c r="D7" i="8"/>
  <c r="D8" i="8"/>
  <c r="D9" i="8"/>
  <c r="D10" i="8"/>
  <c r="D11" i="8"/>
  <c r="D12" i="8"/>
  <c r="D13" i="8"/>
  <c r="D14" i="8"/>
  <c r="D19" i="8"/>
  <c r="D20" i="8"/>
  <c r="E20" i="8" s="1"/>
  <c r="D24" i="8"/>
  <c r="D25" i="8"/>
  <c r="D26" i="8"/>
  <c r="D27" i="8"/>
  <c r="D28" i="8"/>
  <c r="D29" i="8"/>
  <c r="D30" i="8"/>
  <c r="D31" i="8"/>
  <c r="D32" i="8"/>
  <c r="D33" i="8"/>
  <c r="D34" i="8"/>
  <c r="E34" i="8" s="1"/>
  <c r="D35" i="8"/>
  <c r="D36" i="8"/>
  <c r="D37" i="8"/>
  <c r="D38" i="8"/>
  <c r="D39" i="8"/>
  <c r="E39" i="8" s="1"/>
  <c r="D40" i="8"/>
  <c r="D41" i="8"/>
  <c r="D42" i="8"/>
  <c r="D43" i="8"/>
  <c r="E43" i="8" s="1"/>
  <c r="D44" i="8"/>
  <c r="D45" i="8"/>
  <c r="D46" i="8"/>
  <c r="D47" i="8"/>
  <c r="D48" i="8"/>
  <c r="E48" i="8" s="1"/>
  <c r="D49" i="8"/>
  <c r="D50" i="8"/>
  <c r="E50" i="8" s="1"/>
  <c r="D2" i="8"/>
  <c r="C3" i="8"/>
  <c r="C4" i="8"/>
  <c r="C5" i="8"/>
  <c r="C6" i="8"/>
  <c r="C7" i="8"/>
  <c r="C8" i="8"/>
  <c r="C9" i="8"/>
  <c r="C10" i="8"/>
  <c r="C11" i="8"/>
  <c r="C12" i="8"/>
  <c r="C13" i="8"/>
  <c r="C14" i="8"/>
  <c r="C19" i="8"/>
  <c r="C20"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2" i="8"/>
  <c r="B3" i="8"/>
  <c r="B4" i="8"/>
  <c r="B5" i="8"/>
  <c r="B6" i="8"/>
  <c r="B7" i="8"/>
  <c r="B8" i="8"/>
  <c r="B9" i="8"/>
  <c r="B10" i="8"/>
  <c r="B11" i="8"/>
  <c r="B12" i="8"/>
  <c r="B13" i="8"/>
  <c r="B14" i="8"/>
  <c r="B15" i="8"/>
  <c r="C15" i="8" s="1"/>
  <c r="B16" i="8"/>
  <c r="D16" i="8" s="1"/>
  <c r="B17" i="8"/>
  <c r="D17" i="8" s="1"/>
  <c r="B18" i="8"/>
  <c r="D18" i="8" s="1"/>
  <c r="B19" i="8"/>
  <c r="B20" i="8"/>
  <c r="B21" i="8"/>
  <c r="D21" i="8" s="1"/>
  <c r="B22" i="8"/>
  <c r="D22" i="8" s="1"/>
  <c r="B23" i="8"/>
  <c r="D23" i="8" s="1"/>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2" i="8"/>
  <c r="A12" i="8"/>
  <c r="A13" i="8"/>
  <c r="A14" i="8"/>
  <c r="A15" i="8"/>
  <c r="G15" i="8" s="1"/>
  <c r="A16" i="8"/>
  <c r="G16" i="8" s="1"/>
  <c r="A17" i="8"/>
  <c r="A18" i="8"/>
  <c r="A19" i="8"/>
  <c r="G19" i="8" s="1"/>
  <c r="A20" i="8"/>
  <c r="G20" i="8" s="1"/>
  <c r="A21" i="8"/>
  <c r="A22" i="8"/>
  <c r="A23" i="8"/>
  <c r="G23" i="8" s="1"/>
  <c r="A24" i="8"/>
  <c r="A25" i="8"/>
  <c r="A26" i="8"/>
  <c r="A27" i="8"/>
  <c r="G27" i="8" s="1"/>
  <c r="K27" i="8" s="1"/>
  <c r="A28" i="8"/>
  <c r="A29" i="8"/>
  <c r="A30" i="8"/>
  <c r="A31" i="8"/>
  <c r="G31" i="8" s="1"/>
  <c r="K31" i="8" s="1"/>
  <c r="A32" i="8"/>
  <c r="A33" i="8"/>
  <c r="A34" i="8"/>
  <c r="A35" i="8"/>
  <c r="G35" i="8" s="1"/>
  <c r="K35" i="8" s="1"/>
  <c r="A36" i="8"/>
  <c r="A37" i="8"/>
  <c r="A38" i="8"/>
  <c r="A39" i="8"/>
  <c r="A40" i="8"/>
  <c r="A41" i="8"/>
  <c r="A42" i="8"/>
  <c r="A43" i="8"/>
  <c r="A44" i="8"/>
  <c r="A45" i="8"/>
  <c r="A46" i="8"/>
  <c r="A47" i="8"/>
  <c r="A48" i="8"/>
  <c r="A49" i="8"/>
  <c r="A50" i="8"/>
  <c r="A51" i="8"/>
  <c r="A3" i="8"/>
  <c r="A4" i="8"/>
  <c r="A5" i="8"/>
  <c r="A6" i="8"/>
  <c r="A7" i="8"/>
  <c r="A8" i="8"/>
  <c r="A9" i="8"/>
  <c r="A10" i="8"/>
  <c r="A11" i="8"/>
  <c r="H34" i="8"/>
  <c r="A2" i="8"/>
  <c r="D51" i="8"/>
  <c r="E51" i="8" s="1"/>
  <c r="E49" i="8"/>
  <c r="E47" i="8"/>
  <c r="E45" i="8"/>
  <c r="E44" i="8"/>
  <c r="E42" i="8"/>
  <c r="E41" i="8"/>
  <c r="E40" i="8"/>
  <c r="E37" i="8"/>
  <c r="E36" i="8"/>
  <c r="E33" i="8"/>
  <c r="G33" i="8"/>
  <c r="K33" i="8" s="1"/>
  <c r="E32" i="8"/>
  <c r="G29" i="8"/>
  <c r="K29" i="8" s="1"/>
  <c r="E28" i="8"/>
  <c r="E26" i="8"/>
  <c r="G25" i="8"/>
  <c r="K25" i="8" s="1"/>
  <c r="E24" i="8"/>
  <c r="G21" i="8"/>
  <c r="G17" i="8"/>
  <c r="E14" i="8"/>
  <c r="E13" i="8"/>
  <c r="G13" i="8"/>
  <c r="E12" i="8"/>
  <c r="G12" i="8"/>
  <c r="G11" i="8"/>
  <c r="E9" i="8"/>
  <c r="E8" i="8"/>
  <c r="E7" i="8"/>
  <c r="E5" i="8"/>
  <c r="E4" i="8"/>
  <c r="J2" i="8"/>
  <c r="C23" i="8" l="1"/>
  <c r="C22" i="8"/>
  <c r="C21" i="8"/>
  <c r="C18" i="8"/>
  <c r="C17" i="8"/>
  <c r="C16" i="8"/>
  <c r="E16" i="8" s="1"/>
  <c r="I20" i="9"/>
  <c r="G20" i="9"/>
  <c r="G40" i="20" s="1"/>
  <c r="G19" i="9"/>
  <c r="G39" i="20" s="1"/>
  <c r="I19" i="9"/>
  <c r="G21" i="9"/>
  <c r="G17" i="9"/>
  <c r="G37" i="20" s="1"/>
  <c r="I17" i="9"/>
  <c r="J18" i="9"/>
  <c r="D21" i="4"/>
  <c r="C21" i="4"/>
  <c r="K21" i="4"/>
  <c r="D15" i="8"/>
  <c r="E15" i="8" s="1"/>
  <c r="E46" i="8"/>
  <c r="E38" i="8"/>
  <c r="E30" i="8"/>
  <c r="E22" i="8"/>
  <c r="E18" i="8"/>
  <c r="E10" i="8"/>
  <c r="E6" i="8"/>
  <c r="E17" i="8"/>
  <c r="E21" i="8"/>
  <c r="E3" i="8"/>
  <c r="E35" i="8"/>
  <c r="E2" i="8"/>
  <c r="G14" i="8"/>
  <c r="J15" i="8"/>
  <c r="G18" i="8"/>
  <c r="J19" i="8"/>
  <c r="G22" i="8"/>
  <c r="O2" i="8" s="1" a="1"/>
  <c r="O2" i="8" s="1"/>
  <c r="J25" i="8"/>
  <c r="J33" i="8"/>
  <c r="J35" i="8"/>
  <c r="J17" i="8"/>
  <c r="J21" i="8"/>
  <c r="J27" i="8"/>
  <c r="G34" i="8"/>
  <c r="J34" i="8" s="1"/>
  <c r="J23" i="8"/>
  <c r="J31" i="8"/>
  <c r="G10" i="8"/>
  <c r="M16" i="8"/>
  <c r="K16" i="8" s="1"/>
  <c r="J29" i="8"/>
  <c r="G8" i="8"/>
  <c r="H3" i="8"/>
  <c r="G3" i="8"/>
  <c r="J13" i="8" s="1"/>
  <c r="E11" i="8"/>
  <c r="H16" i="8"/>
  <c r="I16" i="8" s="1"/>
  <c r="E19" i="8"/>
  <c r="M19" i="8" s="1"/>
  <c r="K19" i="8" s="1"/>
  <c r="L19" i="8" s="1"/>
  <c r="H20" i="8"/>
  <c r="I20" i="8" s="1"/>
  <c r="H2" i="8"/>
  <c r="G2" i="8"/>
  <c r="J18" i="8"/>
  <c r="J22" i="8"/>
  <c r="G5" i="8"/>
  <c r="G6" i="8"/>
  <c r="G7" i="8"/>
  <c r="G24" i="8"/>
  <c r="H24" i="8"/>
  <c r="G26" i="8"/>
  <c r="H26" i="8"/>
  <c r="G28" i="8"/>
  <c r="H28" i="8"/>
  <c r="G30" i="8"/>
  <c r="H30" i="8"/>
  <c r="G32" i="8"/>
  <c r="H32" i="8"/>
  <c r="G9" i="8"/>
  <c r="G4" i="8"/>
  <c r="H12" i="8" s="1"/>
  <c r="J16" i="8"/>
  <c r="J20" i="8"/>
  <c r="E23" i="8"/>
  <c r="E25" i="8"/>
  <c r="E27" i="8"/>
  <c r="E29" i="8"/>
  <c r="E31" i="8"/>
  <c r="L25" i="8"/>
  <c r="L27" i="8"/>
  <c r="L29" i="8"/>
  <c r="L31" i="8"/>
  <c r="L33" i="8"/>
  <c r="L35" i="8"/>
  <c r="H15" i="8"/>
  <c r="I15" i="8" s="1"/>
  <c r="H17" i="8"/>
  <c r="I17" i="8" s="1"/>
  <c r="H19" i="8"/>
  <c r="I19" i="8" s="1"/>
  <c r="H21" i="8"/>
  <c r="I21" i="8" s="1"/>
  <c r="M21" i="8"/>
  <c r="K21" i="8" s="1"/>
  <c r="L21" i="8" s="1"/>
  <c r="H23" i="8"/>
  <c r="I23" i="8" s="1"/>
  <c r="H25" i="8"/>
  <c r="I25" i="8" s="1"/>
  <c r="M25" i="8"/>
  <c r="H27" i="8"/>
  <c r="I27" i="8" s="1"/>
  <c r="M27" i="8"/>
  <c r="H29" i="8"/>
  <c r="I29" i="8" s="1"/>
  <c r="M29" i="8"/>
  <c r="H31" i="8"/>
  <c r="I31" i="8" s="1"/>
  <c r="M31" i="8"/>
  <c r="H33" i="8"/>
  <c r="I33" i="8" s="1"/>
  <c r="M33" i="8"/>
  <c r="H35" i="8"/>
  <c r="I35" i="8" s="1"/>
  <c r="M35" i="8"/>
  <c r="L34" i="8"/>
  <c r="H36" i="8"/>
  <c r="G36" i="8"/>
  <c r="H37" i="8"/>
  <c r="G37" i="8"/>
  <c r="H38" i="8"/>
  <c r="G38" i="8"/>
  <c r="H39" i="8"/>
  <c r="G39" i="8"/>
  <c r="H40" i="8"/>
  <c r="G40" i="8"/>
  <c r="H41" i="8"/>
  <c r="G41" i="8"/>
  <c r="H42" i="8"/>
  <c r="G42" i="8"/>
  <c r="H43" i="8"/>
  <c r="G43" i="8"/>
  <c r="H44" i="8"/>
  <c r="G44" i="8"/>
  <c r="H45" i="8"/>
  <c r="G45" i="8"/>
  <c r="H46" i="8"/>
  <c r="G46" i="8"/>
  <c r="H47" i="8"/>
  <c r="G47" i="8"/>
  <c r="H48" i="8"/>
  <c r="G48" i="8"/>
  <c r="H49" i="8"/>
  <c r="G49" i="8"/>
  <c r="H50" i="8"/>
  <c r="G50" i="8"/>
  <c r="H51" i="8"/>
  <c r="G51" i="8"/>
  <c r="E4" i="7"/>
  <c r="E5" i="7"/>
  <c r="E6" i="7"/>
  <c r="E7" i="7"/>
  <c r="E8" i="7"/>
  <c r="E9" i="7"/>
  <c r="E10" i="7"/>
  <c r="E11" i="7"/>
  <c r="E12" i="7"/>
  <c r="E13" i="7"/>
  <c r="E30" i="7"/>
  <c r="E31" i="7"/>
  <c r="E32" i="7"/>
  <c r="E33" i="7"/>
  <c r="E34" i="7"/>
  <c r="E35" i="7"/>
  <c r="E36" i="7"/>
  <c r="E37" i="7"/>
  <c r="E38" i="7"/>
  <c r="E39" i="7"/>
  <c r="E40" i="7"/>
  <c r="E41" i="7"/>
  <c r="E42" i="7"/>
  <c r="E43" i="7"/>
  <c r="E44" i="7"/>
  <c r="E45" i="7"/>
  <c r="E46" i="7"/>
  <c r="E47" i="7"/>
  <c r="E48" i="7"/>
  <c r="E49" i="7"/>
  <c r="E50" i="7"/>
  <c r="E51" i="7"/>
  <c r="E2" i="7"/>
  <c r="E3" i="7"/>
  <c r="M23" i="8" l="1"/>
  <c r="K23" i="8" s="1"/>
  <c r="L23" i="8" s="1"/>
  <c r="S13" i="8" s="1"/>
  <c r="M22" i="8"/>
  <c r="P12" i="8" s="1"/>
  <c r="H22" i="8"/>
  <c r="I22" i="8" s="1"/>
  <c r="J17" i="9"/>
  <c r="I37" i="20"/>
  <c r="M37" i="20" s="1"/>
  <c r="M20" i="8"/>
  <c r="K20" i="8" s="1"/>
  <c r="L20" i="8" s="1"/>
  <c r="S9" i="8" s="1"/>
  <c r="J20" i="9"/>
  <c r="I40" i="20"/>
  <c r="M40" i="20" s="1"/>
  <c r="J19" i="9"/>
  <c r="I39" i="20"/>
  <c r="M39" i="20" s="1"/>
  <c r="H18" i="8"/>
  <c r="I18" i="8" s="1"/>
  <c r="M17" i="8"/>
  <c r="K17" i="8" s="1"/>
  <c r="L17" i="8" s="1"/>
  <c r="L16" i="8"/>
  <c r="I21" i="4"/>
  <c r="J21" i="4" s="1"/>
  <c r="G21" i="4"/>
  <c r="I18" i="4"/>
  <c r="J18" i="4" s="1"/>
  <c r="G18" i="4"/>
  <c r="I20" i="4"/>
  <c r="J20" i="4" s="1"/>
  <c r="G20" i="4"/>
  <c r="I15" i="4"/>
  <c r="J15" i="4" s="1"/>
  <c r="G15" i="4"/>
  <c r="I19" i="4"/>
  <c r="J19" i="4" s="1"/>
  <c r="G19" i="4"/>
  <c r="I13" i="4"/>
  <c r="J13" i="4" s="1"/>
  <c r="G13" i="4"/>
  <c r="I12" i="4"/>
  <c r="J12" i="4" s="1"/>
  <c r="G12" i="4"/>
  <c r="I17" i="4"/>
  <c r="J17" i="4" s="1"/>
  <c r="G17" i="4"/>
  <c r="I14" i="4"/>
  <c r="J14" i="4" s="1"/>
  <c r="G14" i="4"/>
  <c r="I16" i="4"/>
  <c r="J16" i="4" s="1"/>
  <c r="G16" i="4"/>
  <c r="A16" i="9"/>
  <c r="Q16" i="8"/>
  <c r="P16" i="8"/>
  <c r="S16" i="8"/>
  <c r="R16" i="8"/>
  <c r="A15" i="9"/>
  <c r="S11" i="8"/>
  <c r="S10" i="8"/>
  <c r="S7" i="8"/>
  <c r="S6" i="8"/>
  <c r="L12" i="9"/>
  <c r="L32" i="20" s="1"/>
  <c r="R11" i="8"/>
  <c r="R10" i="8"/>
  <c r="R7" i="8"/>
  <c r="R6" i="8"/>
  <c r="Q15" i="8"/>
  <c r="Q14" i="8"/>
  <c r="Q13" i="8"/>
  <c r="Q11" i="8"/>
  <c r="Q10" i="8"/>
  <c r="Q9" i="8"/>
  <c r="Q8" i="8"/>
  <c r="Q7" i="8"/>
  <c r="Q6" i="8"/>
  <c r="P11" i="8"/>
  <c r="P10" i="8"/>
  <c r="P7" i="8"/>
  <c r="P6" i="8"/>
  <c r="S5" i="8"/>
  <c r="P5" i="8"/>
  <c r="R3" i="8"/>
  <c r="Q5" i="8"/>
  <c r="S4" i="8"/>
  <c r="P3" i="8"/>
  <c r="P4" i="8"/>
  <c r="S3" i="8"/>
  <c r="R5" i="8"/>
  <c r="Q3" i="8"/>
  <c r="R4" i="8"/>
  <c r="Q4" i="8"/>
  <c r="M15" i="8"/>
  <c r="K15" i="8" s="1"/>
  <c r="L15" i="8" s="1"/>
  <c r="S15" i="8" s="1"/>
  <c r="I34" i="8"/>
  <c r="I12" i="8"/>
  <c r="H6" i="8"/>
  <c r="H13" i="8"/>
  <c r="H14" i="8"/>
  <c r="I14" i="8" s="1"/>
  <c r="H9" i="8"/>
  <c r="I9" i="8" s="1"/>
  <c r="H7" i="8"/>
  <c r="H5" i="8"/>
  <c r="I5" i="8" s="1"/>
  <c r="H8" i="8"/>
  <c r="K34" i="8"/>
  <c r="M34" i="8"/>
  <c r="J11" i="8"/>
  <c r="H10" i="8"/>
  <c r="I10" i="8" s="1"/>
  <c r="H11" i="8"/>
  <c r="J14" i="8"/>
  <c r="J10" i="8"/>
  <c r="J12" i="8"/>
  <c r="M18" i="8"/>
  <c r="K18" i="8" s="1"/>
  <c r="L45" i="8"/>
  <c r="K45" i="8"/>
  <c r="M45" i="8"/>
  <c r="J45" i="8"/>
  <c r="I45" i="8"/>
  <c r="L37" i="8"/>
  <c r="K37" i="8"/>
  <c r="M37" i="8"/>
  <c r="J37" i="8"/>
  <c r="I37" i="8"/>
  <c r="K30" i="8"/>
  <c r="J30" i="8"/>
  <c r="I30" i="8"/>
  <c r="M30" i="8"/>
  <c r="L30" i="8"/>
  <c r="M4" i="8"/>
  <c r="K4" i="8" s="1"/>
  <c r="J4" i="8"/>
  <c r="J6" i="8"/>
  <c r="I6" i="8"/>
  <c r="L50" i="8"/>
  <c r="K50" i="8"/>
  <c r="M50" i="8"/>
  <c r="J50" i="8"/>
  <c r="I50" i="8"/>
  <c r="L48" i="8"/>
  <c r="K48" i="8"/>
  <c r="M48" i="8"/>
  <c r="J48" i="8"/>
  <c r="I48" i="8"/>
  <c r="L46" i="8"/>
  <c r="K46" i="8"/>
  <c r="M46" i="8"/>
  <c r="J46" i="8"/>
  <c r="I46" i="8"/>
  <c r="L44" i="8"/>
  <c r="K44" i="8"/>
  <c r="M44" i="8"/>
  <c r="J44" i="8"/>
  <c r="I44" i="8"/>
  <c r="L42" i="8"/>
  <c r="K42" i="8"/>
  <c r="M42" i="8"/>
  <c r="J42" i="8"/>
  <c r="I42" i="8"/>
  <c r="L40" i="8"/>
  <c r="K40" i="8"/>
  <c r="M40" i="8"/>
  <c r="J40" i="8"/>
  <c r="I40" i="8"/>
  <c r="L38" i="8"/>
  <c r="K38" i="8"/>
  <c r="M38" i="8"/>
  <c r="J38" i="8"/>
  <c r="I38" i="8"/>
  <c r="L36" i="8"/>
  <c r="K36" i="8"/>
  <c r="M36" i="8"/>
  <c r="J36" i="8"/>
  <c r="I36" i="8"/>
  <c r="H4" i="8"/>
  <c r="I4" i="8" s="1"/>
  <c r="K32" i="8"/>
  <c r="L32" i="8"/>
  <c r="J32" i="8"/>
  <c r="I32" i="8"/>
  <c r="M32" i="8"/>
  <c r="K28" i="8"/>
  <c r="J28" i="8"/>
  <c r="I28" i="8"/>
  <c r="M28" i="8"/>
  <c r="L28" i="8"/>
  <c r="K24" i="8"/>
  <c r="J24" i="8"/>
  <c r="I24" i="8"/>
  <c r="M24" i="8"/>
  <c r="L24" i="8"/>
  <c r="J9" i="8"/>
  <c r="I7" i="8"/>
  <c r="J7" i="8"/>
  <c r="J5" i="8"/>
  <c r="I2" i="8"/>
  <c r="M2" i="8"/>
  <c r="K2" i="8" s="1"/>
  <c r="L2" i="8" s="1"/>
  <c r="M3" i="8"/>
  <c r="K3" i="8" s="1"/>
  <c r="J3" i="8"/>
  <c r="I3" i="8"/>
  <c r="L49" i="8"/>
  <c r="K49" i="8"/>
  <c r="M49" i="8"/>
  <c r="J49" i="8"/>
  <c r="I49" i="8"/>
  <c r="L43" i="8"/>
  <c r="K43" i="8"/>
  <c r="M43" i="8"/>
  <c r="J43" i="8"/>
  <c r="I43" i="8"/>
  <c r="L39" i="8"/>
  <c r="K39" i="8"/>
  <c r="M39" i="8"/>
  <c r="J39" i="8"/>
  <c r="I39" i="8"/>
  <c r="J8" i="8"/>
  <c r="I8" i="8"/>
  <c r="M51" i="8"/>
  <c r="I51" i="8"/>
  <c r="L51" i="8"/>
  <c r="K51" i="8"/>
  <c r="J51" i="8"/>
  <c r="L47" i="8"/>
  <c r="K47" i="8"/>
  <c r="M47" i="8"/>
  <c r="J47" i="8"/>
  <c r="I47" i="8"/>
  <c r="L41" i="8"/>
  <c r="K41" i="8"/>
  <c r="M41" i="8"/>
  <c r="J41" i="8"/>
  <c r="I41" i="8"/>
  <c r="K26" i="8"/>
  <c r="J26" i="8"/>
  <c r="I26" i="8"/>
  <c r="M26" i="8"/>
  <c r="L26" i="8"/>
  <c r="E4" i="2"/>
  <c r="E51" i="2"/>
  <c r="E2" i="2"/>
  <c r="E3" i="2"/>
  <c r="P13" i="8" l="1"/>
  <c r="R13" i="8"/>
  <c r="Q12" i="8"/>
  <c r="V12" i="8" s="1"/>
  <c r="K22" i="8"/>
  <c r="L22" i="8" s="1"/>
  <c r="S12" i="8" s="1"/>
  <c r="Y12" i="8" s="1"/>
  <c r="P9" i="8"/>
  <c r="V9" i="8" s="1"/>
  <c r="R9" i="8"/>
  <c r="X9" i="8" s="1"/>
  <c r="X16" i="8"/>
  <c r="Y16" i="8"/>
  <c r="W16" i="8"/>
  <c r="V16" i="8"/>
  <c r="U16" i="8"/>
  <c r="Y9" i="8"/>
  <c r="W9" i="8"/>
  <c r="U9" i="8"/>
  <c r="Y6" i="8"/>
  <c r="X6" i="8"/>
  <c r="W6" i="8"/>
  <c r="V6" i="8"/>
  <c r="U6" i="8"/>
  <c r="Y7" i="8"/>
  <c r="X7" i="8"/>
  <c r="W7" i="8"/>
  <c r="V7" i="8"/>
  <c r="U7" i="8"/>
  <c r="Y11" i="8"/>
  <c r="X11" i="8"/>
  <c r="W11" i="8"/>
  <c r="V11" i="8"/>
  <c r="U11" i="8"/>
  <c r="Y15" i="8"/>
  <c r="X15" i="8"/>
  <c r="W15" i="8"/>
  <c r="V15" i="8"/>
  <c r="U15" i="8"/>
  <c r="L15" i="9"/>
  <c r="L35" i="20" s="1"/>
  <c r="C15" i="9"/>
  <c r="K15" i="9"/>
  <c r="K35" i="20" s="1"/>
  <c r="D15" i="9"/>
  <c r="D35" i="20" s="1"/>
  <c r="H15" i="9"/>
  <c r="Y13" i="8"/>
  <c r="X13" i="8"/>
  <c r="W13" i="8"/>
  <c r="V13" i="8"/>
  <c r="U13" i="8"/>
  <c r="Y4" i="8"/>
  <c r="X4" i="8"/>
  <c r="V4" i="8"/>
  <c r="W4" i="8"/>
  <c r="U4" i="8"/>
  <c r="Y5" i="8"/>
  <c r="X5" i="8"/>
  <c r="W5" i="8"/>
  <c r="V5" i="8"/>
  <c r="U5" i="8"/>
  <c r="U10" i="8"/>
  <c r="Y10" i="8"/>
  <c r="X10" i="8"/>
  <c r="W10" i="8"/>
  <c r="V10" i="8"/>
  <c r="V14" i="8"/>
  <c r="Y14" i="8"/>
  <c r="X14" i="8"/>
  <c r="W14" i="8"/>
  <c r="U14" i="8"/>
  <c r="Y3" i="8"/>
  <c r="X3" i="8"/>
  <c r="W3" i="8"/>
  <c r="V3" i="8"/>
  <c r="U3" i="8"/>
  <c r="Y8" i="8"/>
  <c r="W8" i="8"/>
  <c r="X8" i="8"/>
  <c r="U8" i="8"/>
  <c r="V8" i="8"/>
  <c r="W12" i="8"/>
  <c r="U12" i="8"/>
  <c r="I11" i="9"/>
  <c r="J11" i="9" s="1"/>
  <c r="G11" i="9"/>
  <c r="G31" i="20" s="1"/>
  <c r="I14" i="9"/>
  <c r="G14" i="9"/>
  <c r="G34" i="20" s="1"/>
  <c r="R14" i="8"/>
  <c r="L18" i="8"/>
  <c r="S14" i="8" s="1"/>
  <c r="P14" i="8"/>
  <c r="L13" i="9"/>
  <c r="L33" i="20" s="1"/>
  <c r="R8" i="8"/>
  <c r="S8" i="8"/>
  <c r="E13" i="9" a="1"/>
  <c r="E13" i="9" s="1"/>
  <c r="F13" i="9" a="1"/>
  <c r="F13" i="9" s="1"/>
  <c r="F12" i="9" a="1"/>
  <c r="F12" i="9" s="1"/>
  <c r="E12" i="9" a="1"/>
  <c r="E12" i="9" s="1"/>
  <c r="P8" i="8"/>
  <c r="E15" i="9" a="1"/>
  <c r="E15" i="9" s="1"/>
  <c r="E35" i="20" s="1"/>
  <c r="F15" i="9" a="1"/>
  <c r="F15" i="9" s="1"/>
  <c r="F35" i="20" s="1"/>
  <c r="P15" i="8"/>
  <c r="Q2" i="8"/>
  <c r="P2" i="8"/>
  <c r="S2" i="8"/>
  <c r="R2" i="8"/>
  <c r="R15" i="8"/>
  <c r="L4" i="8"/>
  <c r="M8" i="8"/>
  <c r="K8" i="8" s="1"/>
  <c r="L8" i="8" s="1"/>
  <c r="L3" i="8"/>
  <c r="M5" i="8"/>
  <c r="K5" i="8" s="1"/>
  <c r="L5" i="8" s="1"/>
  <c r="M9" i="8"/>
  <c r="K9" i="8" s="1"/>
  <c r="L9" i="8" s="1"/>
  <c r="M6" i="8"/>
  <c r="K6" i="8" s="1"/>
  <c r="L6" i="8" s="1"/>
  <c r="I13" i="8"/>
  <c r="M13" i="8"/>
  <c r="K13" i="8" s="1"/>
  <c r="L13" i="8" s="1"/>
  <c r="M7" i="8"/>
  <c r="K7" i="8" s="1"/>
  <c r="L7" i="8" s="1"/>
  <c r="I11" i="8"/>
  <c r="M11" i="8"/>
  <c r="K11" i="8" s="1"/>
  <c r="L11" i="8" s="1"/>
  <c r="M12" i="8" s="1"/>
  <c r="K12" i="8" s="1"/>
  <c r="L12" i="8" s="1"/>
  <c r="M14" i="8"/>
  <c r="K14" i="8" s="1"/>
  <c r="L14" i="8" s="1"/>
  <c r="M10" i="8"/>
  <c r="K10" i="8" s="1"/>
  <c r="L10" i="8" s="1"/>
  <c r="H45" i="6"/>
  <c r="G39" i="6"/>
  <c r="E20" i="6"/>
  <c r="D8" i="6"/>
  <c r="D9" i="6"/>
  <c r="D10" i="6"/>
  <c r="D11" i="6"/>
  <c r="D12" i="6"/>
  <c r="D13" i="6"/>
  <c r="D14" i="6"/>
  <c r="D15" i="6"/>
  <c r="E15" i="6" s="1"/>
  <c r="D16" i="6"/>
  <c r="D17" i="6"/>
  <c r="D18" i="6"/>
  <c r="D19" i="6"/>
  <c r="E19" i="6" s="1"/>
  <c r="D20" i="6"/>
  <c r="D21" i="6"/>
  <c r="D22" i="6"/>
  <c r="D23" i="6"/>
  <c r="E23" i="6" s="1"/>
  <c r="D24" i="6"/>
  <c r="D25" i="6"/>
  <c r="D26" i="6"/>
  <c r="D27" i="6"/>
  <c r="E27" i="6" s="1"/>
  <c r="D28" i="6"/>
  <c r="D29" i="6"/>
  <c r="D30" i="6"/>
  <c r="D31" i="6"/>
  <c r="E31" i="6" s="1"/>
  <c r="D32" i="6"/>
  <c r="D33" i="6"/>
  <c r="D34" i="6"/>
  <c r="D35" i="6"/>
  <c r="E35" i="6" s="1"/>
  <c r="D36" i="6"/>
  <c r="E36" i="6" s="1"/>
  <c r="D37" i="6"/>
  <c r="D38" i="6"/>
  <c r="D39" i="6"/>
  <c r="E39" i="6" s="1"/>
  <c r="D40" i="6"/>
  <c r="D41" i="6"/>
  <c r="D42" i="6"/>
  <c r="D43" i="6"/>
  <c r="E43" i="6" s="1"/>
  <c r="D44" i="6"/>
  <c r="D45" i="6"/>
  <c r="D46" i="6"/>
  <c r="D47" i="6"/>
  <c r="E47" i="6" s="1"/>
  <c r="D48" i="6"/>
  <c r="D49" i="6"/>
  <c r="D50" i="6"/>
  <c r="D51" i="6"/>
  <c r="E51" i="6" s="1"/>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8" i="6"/>
  <c r="C9" i="6"/>
  <c r="C10" i="6"/>
  <c r="C11" i="6"/>
  <c r="C12" i="6"/>
  <c r="C13" i="6"/>
  <c r="C14" i="6"/>
  <c r="B3" i="6"/>
  <c r="C3" i="6" s="1"/>
  <c r="B4" i="6"/>
  <c r="D4" i="6" s="1"/>
  <c r="B5" i="6"/>
  <c r="C5" i="6" s="1"/>
  <c r="B6" i="6"/>
  <c r="C6" i="6" s="1"/>
  <c r="B7" i="6"/>
  <c r="D7" i="6" s="1"/>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2" i="6"/>
  <c r="C2" i="6" s="1"/>
  <c r="A30" i="6"/>
  <c r="A31" i="6"/>
  <c r="H31" i="6" s="1"/>
  <c r="A32" i="6"/>
  <c r="G32" i="6" s="1"/>
  <c r="J32" i="6" s="1"/>
  <c r="A33" i="6"/>
  <c r="G33" i="6" s="1"/>
  <c r="A34" i="6"/>
  <c r="A35" i="6"/>
  <c r="H35" i="6" s="1"/>
  <c r="A36" i="6"/>
  <c r="G36" i="6" s="1"/>
  <c r="A37" i="6"/>
  <c r="G37" i="6" s="1"/>
  <c r="A38" i="6"/>
  <c r="A39" i="6"/>
  <c r="H39" i="6" s="1"/>
  <c r="A40" i="6"/>
  <c r="G40" i="6" s="1"/>
  <c r="A41" i="6"/>
  <c r="G41" i="6" s="1"/>
  <c r="A42" i="6"/>
  <c r="A43" i="6"/>
  <c r="H43" i="6" s="1"/>
  <c r="A44" i="6"/>
  <c r="G44" i="6" s="1"/>
  <c r="J44" i="6" s="1"/>
  <c r="A45" i="6"/>
  <c r="G45" i="6" s="1"/>
  <c r="A46" i="6"/>
  <c r="A47" i="6"/>
  <c r="H47" i="6" s="1"/>
  <c r="A48" i="6"/>
  <c r="G48" i="6" s="1"/>
  <c r="J48" i="6" s="1"/>
  <c r="A49" i="6"/>
  <c r="G49" i="6" s="1"/>
  <c r="A50" i="6"/>
  <c r="A51" i="6"/>
  <c r="H51" i="6" s="1"/>
  <c r="A3" i="6"/>
  <c r="G3" i="6" s="1"/>
  <c r="A4" i="6"/>
  <c r="G4" i="6" s="1"/>
  <c r="A5" i="6"/>
  <c r="A6" i="6"/>
  <c r="G6" i="6" s="1"/>
  <c r="A7" i="6"/>
  <c r="G7" i="6" s="1"/>
  <c r="A8" i="6"/>
  <c r="H8" i="6" s="1"/>
  <c r="A9" i="6"/>
  <c r="A10" i="6"/>
  <c r="G10" i="6" s="1"/>
  <c r="J10" i="6" s="1"/>
  <c r="A11" i="6"/>
  <c r="G11" i="6" s="1"/>
  <c r="M11" i="6" s="1"/>
  <c r="A12" i="6"/>
  <c r="G12" i="6" s="1"/>
  <c r="A13" i="6"/>
  <c r="H13" i="6" s="1"/>
  <c r="A14" i="6"/>
  <c r="G14" i="6" s="1"/>
  <c r="J14" i="6" s="1"/>
  <c r="A15" i="6"/>
  <c r="H15" i="6" s="1"/>
  <c r="A16" i="6"/>
  <c r="G16" i="6" s="1"/>
  <c r="A17" i="6"/>
  <c r="G17" i="6" s="1"/>
  <c r="A18" i="6"/>
  <c r="H18" i="6" s="1"/>
  <c r="A19" i="6"/>
  <c r="H19" i="6" s="1"/>
  <c r="A20" i="6"/>
  <c r="G20" i="6" s="1"/>
  <c r="A21" i="6"/>
  <c r="G21" i="6" s="1"/>
  <c r="A22" i="6"/>
  <c r="H22" i="6" s="1"/>
  <c r="A23" i="6"/>
  <c r="H23" i="6" s="1"/>
  <c r="A24" i="6"/>
  <c r="G24" i="6" s="1"/>
  <c r="J24" i="6" s="1"/>
  <c r="A25" i="6"/>
  <c r="G25" i="6" s="1"/>
  <c r="A26" i="6"/>
  <c r="H26" i="6" s="1"/>
  <c r="A27" i="6"/>
  <c r="H27" i="6" s="1"/>
  <c r="A28" i="6"/>
  <c r="G28" i="6" s="1"/>
  <c r="A29" i="6"/>
  <c r="G29" i="6" s="1"/>
  <c r="A2" i="6"/>
  <c r="G8" i="6"/>
  <c r="R12" i="8" l="1"/>
  <c r="X12" i="8" s="1"/>
  <c r="B16" i="13"/>
  <c r="X2" i="8"/>
  <c r="W2" i="8"/>
  <c r="V2" i="8"/>
  <c r="Y2" i="8"/>
  <c r="U2" i="8"/>
  <c r="J14" i="9"/>
  <c r="I34" i="20"/>
  <c r="M34" i="20" s="1"/>
  <c r="A2" i="9" a="1"/>
  <c r="I12" i="9"/>
  <c r="I32" i="20" s="1"/>
  <c r="I16" i="9"/>
  <c r="G16" i="9"/>
  <c r="G36" i="20" s="1"/>
  <c r="G12" i="9"/>
  <c r="G32" i="20" s="1"/>
  <c r="G13" i="9"/>
  <c r="G33" i="20" s="1"/>
  <c r="I15" i="9"/>
  <c r="G15" i="9"/>
  <c r="G35" i="20" s="1"/>
  <c r="I13" i="9"/>
  <c r="I33" i="20" s="1"/>
  <c r="M33" i="20" s="1"/>
  <c r="C7" i="6"/>
  <c r="M8" i="6"/>
  <c r="D5" i="6"/>
  <c r="E5" i="6" s="1"/>
  <c r="I39" i="6"/>
  <c r="I35" i="6"/>
  <c r="G51" i="6"/>
  <c r="G35" i="6"/>
  <c r="G19" i="6"/>
  <c r="L19" i="6" s="1"/>
  <c r="H41" i="6"/>
  <c r="I41" i="6" s="1"/>
  <c r="G23" i="6"/>
  <c r="I23" i="6" s="1"/>
  <c r="I51" i="6"/>
  <c r="E49" i="6"/>
  <c r="E45" i="6"/>
  <c r="E41" i="6"/>
  <c r="E37" i="6"/>
  <c r="E33" i="6"/>
  <c r="E29" i="6"/>
  <c r="E25" i="6"/>
  <c r="E21" i="6"/>
  <c r="E17" i="6"/>
  <c r="E13" i="6"/>
  <c r="E9" i="6"/>
  <c r="D3" i="6"/>
  <c r="E3" i="6" s="1"/>
  <c r="G47" i="6"/>
  <c r="I47" i="6" s="1"/>
  <c r="G31" i="6"/>
  <c r="I31" i="6" s="1"/>
  <c r="G15" i="6"/>
  <c r="I15" i="6" s="1"/>
  <c r="H37" i="6"/>
  <c r="I37" i="6" s="1"/>
  <c r="D2" i="6"/>
  <c r="E48" i="6"/>
  <c r="E44" i="6"/>
  <c r="E40" i="6"/>
  <c r="E32" i="6"/>
  <c r="E28" i="6"/>
  <c r="E24" i="6"/>
  <c r="E16" i="6"/>
  <c r="E12" i="6"/>
  <c r="E8" i="6"/>
  <c r="G43" i="6"/>
  <c r="K43" i="6" s="1"/>
  <c r="G27" i="6"/>
  <c r="H49" i="6"/>
  <c r="I49" i="6" s="1"/>
  <c r="H33" i="6"/>
  <c r="I33" i="6" s="1"/>
  <c r="J29" i="6"/>
  <c r="L29" i="6"/>
  <c r="K29" i="6"/>
  <c r="M29" i="6"/>
  <c r="L17" i="6"/>
  <c r="K17" i="6"/>
  <c r="J17" i="6"/>
  <c r="M17" i="6"/>
  <c r="G9" i="6"/>
  <c r="J9" i="6" s="1"/>
  <c r="H50" i="6"/>
  <c r="G50" i="6"/>
  <c r="H34" i="6"/>
  <c r="G34" i="6"/>
  <c r="L28" i="6"/>
  <c r="K28" i="6"/>
  <c r="M28" i="6"/>
  <c r="L20" i="6"/>
  <c r="K20" i="6"/>
  <c r="J20" i="6"/>
  <c r="M20" i="6"/>
  <c r="L16" i="6"/>
  <c r="K16" i="6"/>
  <c r="J16" i="6"/>
  <c r="M16" i="6"/>
  <c r="J49" i="6"/>
  <c r="L49" i="6"/>
  <c r="M49" i="6"/>
  <c r="K49" i="6"/>
  <c r="J45" i="6"/>
  <c r="L45" i="6"/>
  <c r="K45" i="6"/>
  <c r="M45" i="6"/>
  <c r="J41" i="6"/>
  <c r="L41" i="6"/>
  <c r="M41" i="6"/>
  <c r="K41" i="6"/>
  <c r="J37" i="6"/>
  <c r="L37" i="6"/>
  <c r="K37" i="6"/>
  <c r="M37" i="6"/>
  <c r="J33" i="6"/>
  <c r="L33" i="6"/>
  <c r="M33" i="6"/>
  <c r="K33" i="6"/>
  <c r="K39" i="6"/>
  <c r="M39" i="6"/>
  <c r="J39" i="6"/>
  <c r="L39" i="6"/>
  <c r="K23" i="6"/>
  <c r="M23" i="6"/>
  <c r="J23" i="6"/>
  <c r="L23" i="6"/>
  <c r="I45" i="6"/>
  <c r="H29" i="6"/>
  <c r="I29" i="6" s="1"/>
  <c r="J28" i="6"/>
  <c r="J25" i="6"/>
  <c r="L25" i="6"/>
  <c r="M25" i="6"/>
  <c r="K25" i="6"/>
  <c r="H46" i="6"/>
  <c r="G46" i="6"/>
  <c r="H38" i="6"/>
  <c r="G38" i="6"/>
  <c r="H17" i="6"/>
  <c r="I17" i="6" s="1"/>
  <c r="I27" i="6"/>
  <c r="L48" i="6"/>
  <c r="K48" i="6"/>
  <c r="M48" i="6"/>
  <c r="L44" i="6"/>
  <c r="K44" i="6"/>
  <c r="M44" i="6"/>
  <c r="L40" i="6"/>
  <c r="K40" i="6"/>
  <c r="M40" i="6"/>
  <c r="L36" i="6"/>
  <c r="K36" i="6"/>
  <c r="M36" i="6"/>
  <c r="L32" i="6"/>
  <c r="K32" i="6"/>
  <c r="M32" i="6"/>
  <c r="K51" i="6"/>
  <c r="M51" i="6"/>
  <c r="L51" i="6"/>
  <c r="J51" i="6"/>
  <c r="K35" i="6"/>
  <c r="M35" i="6"/>
  <c r="L35" i="6"/>
  <c r="J35" i="6"/>
  <c r="M19" i="6"/>
  <c r="H25" i="6"/>
  <c r="I25" i="6" s="1"/>
  <c r="J40" i="6"/>
  <c r="L21" i="6"/>
  <c r="M21" i="6"/>
  <c r="K21" i="6"/>
  <c r="J21" i="6"/>
  <c r="H42" i="6"/>
  <c r="G42" i="6"/>
  <c r="H30" i="6"/>
  <c r="G30" i="6"/>
  <c r="J43" i="6"/>
  <c r="K27" i="6"/>
  <c r="M27" i="6"/>
  <c r="L27" i="6"/>
  <c r="J27" i="6"/>
  <c r="L24" i="6"/>
  <c r="K24" i="6"/>
  <c r="M24" i="6"/>
  <c r="I22" i="6"/>
  <c r="E50" i="6"/>
  <c r="E46" i="6"/>
  <c r="E42" i="6"/>
  <c r="E38" i="6"/>
  <c r="E34" i="6"/>
  <c r="E30" i="6"/>
  <c r="E26" i="6"/>
  <c r="E22" i="6"/>
  <c r="E18" i="6"/>
  <c r="K47" i="6"/>
  <c r="M47" i="6"/>
  <c r="J47" i="6"/>
  <c r="L47" i="6"/>
  <c r="K31" i="6"/>
  <c r="M31" i="6"/>
  <c r="J31" i="6"/>
  <c r="L31" i="6"/>
  <c r="K15" i="6"/>
  <c r="J15" i="6"/>
  <c r="M15" i="6"/>
  <c r="L15" i="6"/>
  <c r="H21" i="6"/>
  <c r="I21" i="6" s="1"/>
  <c r="J36" i="6"/>
  <c r="C4" i="6"/>
  <c r="E4" i="6" s="1"/>
  <c r="E11" i="6"/>
  <c r="E7" i="6"/>
  <c r="G26" i="6"/>
  <c r="I26" i="6" s="1"/>
  <c r="G22" i="6"/>
  <c r="G18" i="6"/>
  <c r="H48" i="6"/>
  <c r="I48" i="6" s="1"/>
  <c r="H44" i="6"/>
  <c r="I44" i="6" s="1"/>
  <c r="H40" i="6"/>
  <c r="I40" i="6" s="1"/>
  <c r="H36" i="6"/>
  <c r="I36" i="6" s="1"/>
  <c r="H32" i="6"/>
  <c r="I32" i="6" s="1"/>
  <c r="H28" i="6"/>
  <c r="I28" i="6" s="1"/>
  <c r="H24" i="6"/>
  <c r="I24" i="6" s="1"/>
  <c r="H20" i="6"/>
  <c r="I20" i="6" s="1"/>
  <c r="H16" i="6"/>
  <c r="I16" i="6" s="1"/>
  <c r="E14" i="6"/>
  <c r="E10" i="6"/>
  <c r="H12" i="6"/>
  <c r="D6" i="6"/>
  <c r="E6" i="6" s="1"/>
  <c r="J6" i="6"/>
  <c r="G5" i="6"/>
  <c r="J7" i="6" s="1"/>
  <c r="E2" i="6"/>
  <c r="M4" i="6"/>
  <c r="M12" i="6"/>
  <c r="J12" i="6"/>
  <c r="H11" i="6"/>
  <c r="H7" i="6"/>
  <c r="J8" i="6"/>
  <c r="J11" i="6"/>
  <c r="H14" i="6"/>
  <c r="H10" i="6"/>
  <c r="H6" i="6"/>
  <c r="G13" i="6"/>
  <c r="J13" i="6" s="1"/>
  <c r="K12" i="6"/>
  <c r="L12" i="6" s="1"/>
  <c r="M14" i="6" s="1"/>
  <c r="J2" i="6"/>
  <c r="B22" i="4"/>
  <c r="B23" i="4"/>
  <c r="B24" i="4"/>
  <c r="A2" i="9" l="1"/>
  <c r="K4" i="9"/>
  <c r="K24" i="20" s="1"/>
  <c r="K8" i="9"/>
  <c r="K28" i="20" s="1"/>
  <c r="H5" i="9"/>
  <c r="H25" i="20" s="1"/>
  <c r="H9" i="9"/>
  <c r="H29" i="20" s="1"/>
  <c r="H3" i="9"/>
  <c r="H23" i="20" s="1"/>
  <c r="D6" i="9"/>
  <c r="D26" i="20" s="1"/>
  <c r="D10" i="9"/>
  <c r="D30" i="20" s="1"/>
  <c r="C7" i="9"/>
  <c r="C27" i="20" s="1"/>
  <c r="K9" i="9"/>
  <c r="K29" i="20" s="1"/>
  <c r="K3" i="9"/>
  <c r="K23" i="20" s="1"/>
  <c r="H6" i="9"/>
  <c r="H26" i="20" s="1"/>
  <c r="H10" i="9"/>
  <c r="H30" i="20" s="1"/>
  <c r="D7" i="9"/>
  <c r="D27" i="20" s="1"/>
  <c r="C4" i="9"/>
  <c r="C24" i="20" s="1"/>
  <c r="C8" i="9"/>
  <c r="C28" i="20" s="1"/>
  <c r="K7" i="9"/>
  <c r="K27" i="20" s="1"/>
  <c r="C10" i="9"/>
  <c r="C30" i="20" s="1"/>
  <c r="K5" i="9"/>
  <c r="K25" i="20" s="1"/>
  <c r="H4" i="9"/>
  <c r="H24" i="20" s="1"/>
  <c r="H8" i="9"/>
  <c r="H28" i="20" s="1"/>
  <c r="D5" i="9"/>
  <c r="D25" i="20" s="1"/>
  <c r="D9" i="9"/>
  <c r="D29" i="20" s="1"/>
  <c r="D3" i="9"/>
  <c r="D23" i="20" s="1"/>
  <c r="C6" i="9"/>
  <c r="C26" i="20" s="1"/>
  <c r="K6" i="9"/>
  <c r="K26" i="20" s="1"/>
  <c r="K10" i="9"/>
  <c r="K30" i="20" s="1"/>
  <c r="H7" i="9"/>
  <c r="H27" i="20" s="1"/>
  <c r="D4" i="9"/>
  <c r="D24" i="20" s="1"/>
  <c r="D8" i="9"/>
  <c r="D28" i="20" s="1"/>
  <c r="C5" i="9"/>
  <c r="C25" i="20" s="1"/>
  <c r="C9" i="9"/>
  <c r="C29" i="20" s="1"/>
  <c r="C3" i="9"/>
  <c r="C23" i="20" s="1"/>
  <c r="L7" i="9"/>
  <c r="L27" i="20" s="1"/>
  <c r="L9" i="9"/>
  <c r="L29" i="20" s="1"/>
  <c r="L6" i="9"/>
  <c r="L26" i="20" s="1"/>
  <c r="L4" i="9"/>
  <c r="L24" i="20" s="1"/>
  <c r="L5" i="9"/>
  <c r="L25" i="20" s="1"/>
  <c r="L8" i="9"/>
  <c r="L28" i="20" s="1"/>
  <c r="L3" i="9"/>
  <c r="L23" i="20" s="1"/>
  <c r="E6" i="9" a="1"/>
  <c r="E6" i="9" s="1"/>
  <c r="E8" i="9" a="1"/>
  <c r="E8" i="9" s="1"/>
  <c r="E10" i="9" a="1"/>
  <c r="E10" i="9" s="1"/>
  <c r="F4" i="9" a="1"/>
  <c r="F4" i="9" s="1"/>
  <c r="E3" i="9" a="1"/>
  <c r="E3" i="9" s="1"/>
  <c r="F10" i="9" a="1"/>
  <c r="F10" i="9" s="1"/>
  <c r="E4" i="9" a="1"/>
  <c r="E4" i="9" s="1"/>
  <c r="L10" i="9"/>
  <c r="L30" i="20" s="1"/>
  <c r="E9" i="9" a="1"/>
  <c r="E9" i="9" s="1"/>
  <c r="F8" i="9" a="1"/>
  <c r="F8" i="9" s="1"/>
  <c r="E5" i="9" a="1"/>
  <c r="E5" i="9" s="1"/>
  <c r="E7" i="9" a="1"/>
  <c r="E7" i="9" s="1"/>
  <c r="F3" i="9" a="1"/>
  <c r="F3" i="9" s="1"/>
  <c r="F9" i="9" a="1"/>
  <c r="F9" i="9" s="1"/>
  <c r="F6" i="9" a="1"/>
  <c r="F6" i="9" s="1"/>
  <c r="F5" i="9" a="1"/>
  <c r="F5" i="9" s="1"/>
  <c r="F7" i="9" a="1"/>
  <c r="F7" i="9" s="1"/>
  <c r="J15" i="9"/>
  <c r="I35" i="20"/>
  <c r="M35" i="20" s="1"/>
  <c r="J16" i="9"/>
  <c r="I36" i="20"/>
  <c r="M36" i="20" s="1"/>
  <c r="J12" i="9"/>
  <c r="J13" i="9"/>
  <c r="M6" i="6"/>
  <c r="K6" i="6" s="1"/>
  <c r="L6" i="6" s="1"/>
  <c r="M7" i="6" s="1"/>
  <c r="H9" i="6"/>
  <c r="L43" i="6"/>
  <c r="I30" i="6"/>
  <c r="J19" i="6"/>
  <c r="I38" i="6"/>
  <c r="M43" i="6"/>
  <c r="K19" i="6"/>
  <c r="I19" i="6"/>
  <c r="I43" i="6"/>
  <c r="I34" i="6"/>
  <c r="M22" i="6"/>
  <c r="J22" i="6"/>
  <c r="K22" i="6"/>
  <c r="L22" i="6"/>
  <c r="I42" i="6"/>
  <c r="I46" i="6"/>
  <c r="I50" i="6"/>
  <c r="M42" i="6"/>
  <c r="J42" i="6"/>
  <c r="K42" i="6"/>
  <c r="L42" i="6"/>
  <c r="M46" i="6"/>
  <c r="J46" i="6"/>
  <c r="L46" i="6"/>
  <c r="K46" i="6"/>
  <c r="M50" i="6"/>
  <c r="J50" i="6"/>
  <c r="L50" i="6"/>
  <c r="K50" i="6"/>
  <c r="M26" i="6"/>
  <c r="J26" i="6"/>
  <c r="L26" i="6"/>
  <c r="K26" i="6"/>
  <c r="M30" i="6"/>
  <c r="J30" i="6"/>
  <c r="K30" i="6"/>
  <c r="L30" i="6"/>
  <c r="M38" i="6"/>
  <c r="J38" i="6"/>
  <c r="L38" i="6"/>
  <c r="K38" i="6"/>
  <c r="M34" i="6"/>
  <c r="J34" i="6"/>
  <c r="K34" i="6"/>
  <c r="L34" i="6"/>
  <c r="M18" i="6"/>
  <c r="L18" i="6"/>
  <c r="K18" i="6"/>
  <c r="J18" i="6"/>
  <c r="I18" i="6"/>
  <c r="J5" i="6"/>
  <c r="H5" i="6"/>
  <c r="M5" i="6" s="1"/>
  <c r="K5" i="6" s="1"/>
  <c r="G2" i="6"/>
  <c r="O2" i="6" s="1" a="1"/>
  <c r="F25" i="20" l="1"/>
  <c r="G5" i="9"/>
  <c r="G25" i="20" s="1"/>
  <c r="E27" i="20"/>
  <c r="I7" i="9"/>
  <c r="F24" i="20"/>
  <c r="G4" i="9"/>
  <c r="G24" i="20" s="1"/>
  <c r="F26" i="20"/>
  <c r="G6" i="9"/>
  <c r="G26" i="20" s="1"/>
  <c r="E25" i="20"/>
  <c r="I5" i="9"/>
  <c r="E24" i="20"/>
  <c r="I4" i="9"/>
  <c r="E30" i="20"/>
  <c r="I10" i="9"/>
  <c r="F29" i="20"/>
  <c r="G9" i="9"/>
  <c r="G29" i="20" s="1"/>
  <c r="F28" i="20"/>
  <c r="G8" i="9"/>
  <c r="G28" i="20" s="1"/>
  <c r="F30" i="20"/>
  <c r="G10" i="9"/>
  <c r="G30" i="20" s="1"/>
  <c r="E28" i="20"/>
  <c r="I8" i="9"/>
  <c r="F27" i="20"/>
  <c r="G7" i="9"/>
  <c r="G27" i="20" s="1"/>
  <c r="F23" i="20"/>
  <c r="G3" i="9"/>
  <c r="G23" i="20" s="1"/>
  <c r="E29" i="20"/>
  <c r="I9" i="9"/>
  <c r="E23" i="20"/>
  <c r="I3" i="9"/>
  <c r="E26" i="20"/>
  <c r="I6" i="9"/>
  <c r="D2" i="9"/>
  <c r="D22" i="20" s="1"/>
  <c r="C2" i="9"/>
  <c r="C22" i="20" s="1"/>
  <c r="A22" i="20" a="1"/>
  <c r="A22" i="20" s="1"/>
  <c r="N2" i="20" s="1" a="1"/>
  <c r="Y7" i="20" s="1"/>
  <c r="H2" i="9"/>
  <c r="H22" i="20" s="1"/>
  <c r="K2" i="9"/>
  <c r="K22" i="20" s="1"/>
  <c r="L2" i="9"/>
  <c r="L22" i="20" s="1"/>
  <c r="F2" i="9" a="1"/>
  <c r="F2" i="9" s="1"/>
  <c r="E2" i="9" a="1"/>
  <c r="E2" i="9" s="1"/>
  <c r="E5" i="4" a="1"/>
  <c r="E5" i="4" s="1"/>
  <c r="E5" i="20" s="1"/>
  <c r="S10" i="6"/>
  <c r="Q10" i="6"/>
  <c r="A10" i="4"/>
  <c r="R10" i="6"/>
  <c r="P10" i="6"/>
  <c r="A9" i="4"/>
  <c r="Q8" i="6"/>
  <c r="P8" i="6"/>
  <c r="P7" i="6"/>
  <c r="P6" i="6"/>
  <c r="S4" i="6"/>
  <c r="P3" i="6"/>
  <c r="P4" i="6"/>
  <c r="R4" i="6"/>
  <c r="P5" i="6"/>
  <c r="M2" i="6"/>
  <c r="K2" i="6" s="1"/>
  <c r="L2" i="6" s="1"/>
  <c r="H3" i="6"/>
  <c r="M3" i="6" s="1"/>
  <c r="K3" i="6" s="1"/>
  <c r="J4" i="6"/>
  <c r="H2" i="6"/>
  <c r="H4" i="6"/>
  <c r="I4" i="6" s="1"/>
  <c r="J3" i="6"/>
  <c r="K4" i="6"/>
  <c r="L4" i="6" s="1"/>
  <c r="L5" i="6"/>
  <c r="O2" i="6"/>
  <c r="I11" i="6"/>
  <c r="I8" i="6"/>
  <c r="I2" i="6"/>
  <c r="I13" i="6"/>
  <c r="I5" i="6"/>
  <c r="Q4" i="6" s="1"/>
  <c r="I3" i="6"/>
  <c r="I10" i="6"/>
  <c r="I6" i="6"/>
  <c r="I9" i="6"/>
  <c r="I14" i="6"/>
  <c r="I12" i="6"/>
  <c r="I7" i="6"/>
  <c r="E22" i="20" l="1"/>
  <c r="R6" i="20" s="1"/>
  <c r="I2" i="9"/>
  <c r="U6" i="20"/>
  <c r="U13" i="20"/>
  <c r="I26" i="20"/>
  <c r="J26" i="20" s="1"/>
  <c r="W10" i="20" s="1"/>
  <c r="J6" i="9"/>
  <c r="I29" i="20"/>
  <c r="J29" i="20" s="1"/>
  <c r="W13" i="20" s="1"/>
  <c r="J9" i="9"/>
  <c r="T11" i="20"/>
  <c r="Y9" i="20"/>
  <c r="S14" i="20"/>
  <c r="S13" i="20"/>
  <c r="R14" i="20"/>
  <c r="R9" i="20"/>
  <c r="U10" i="20"/>
  <c r="I27" i="20"/>
  <c r="J27" i="20" s="1"/>
  <c r="W11" i="20" s="1"/>
  <c r="J7" i="9"/>
  <c r="N2" i="20"/>
  <c r="U3" i="20"/>
  <c r="X6" i="20"/>
  <c r="X10" i="20"/>
  <c r="X14" i="20"/>
  <c r="Q3" i="20"/>
  <c r="Q7" i="20"/>
  <c r="Q11" i="20"/>
  <c r="P6" i="20"/>
  <c r="P10" i="20"/>
  <c r="P14" i="20"/>
  <c r="Q14" i="20"/>
  <c r="P13" i="20"/>
  <c r="U4" i="20"/>
  <c r="X3" i="20"/>
  <c r="X7" i="20"/>
  <c r="X11" i="20"/>
  <c r="Q4" i="20"/>
  <c r="Q8" i="20"/>
  <c r="Q12" i="20"/>
  <c r="P3" i="20"/>
  <c r="P7" i="20"/>
  <c r="P11" i="20"/>
  <c r="U5" i="20"/>
  <c r="X4" i="20"/>
  <c r="X8" i="20"/>
  <c r="X12" i="20"/>
  <c r="Q5" i="20"/>
  <c r="Q9" i="20"/>
  <c r="Q13" i="20"/>
  <c r="P4" i="20"/>
  <c r="P8" i="20"/>
  <c r="P12" i="20"/>
  <c r="X5" i="20"/>
  <c r="X9" i="20"/>
  <c r="X13" i="20"/>
  <c r="Q6" i="20"/>
  <c r="Q10" i="20"/>
  <c r="P5" i="20"/>
  <c r="P9" i="20"/>
  <c r="Y5" i="20"/>
  <c r="Y4" i="20"/>
  <c r="Y3" i="20"/>
  <c r="V10" i="20"/>
  <c r="U14" i="20"/>
  <c r="R10" i="20"/>
  <c r="R13" i="20"/>
  <c r="S11" i="20"/>
  <c r="I28" i="20"/>
  <c r="J28" i="20" s="1"/>
  <c r="W12" i="20" s="1"/>
  <c r="J8" i="9"/>
  <c r="T12" i="20"/>
  <c r="Y13" i="20"/>
  <c r="I24" i="20"/>
  <c r="J24" i="20" s="1"/>
  <c r="W8" i="20" s="1"/>
  <c r="J4" i="9"/>
  <c r="T10" i="20"/>
  <c r="U8" i="20"/>
  <c r="T8" i="20"/>
  <c r="R11" i="20"/>
  <c r="F22" i="20"/>
  <c r="S6" i="20" s="1"/>
  <c r="G2" i="9"/>
  <c r="G22" i="20" s="1"/>
  <c r="T6" i="20" s="1"/>
  <c r="Y6" i="20"/>
  <c r="U12" i="20"/>
  <c r="I23" i="20"/>
  <c r="J23" i="20" s="1"/>
  <c r="W7" i="20" s="1"/>
  <c r="J3" i="9"/>
  <c r="T7" i="20"/>
  <c r="U7" i="20"/>
  <c r="R12" i="20"/>
  <c r="S12" i="20"/>
  <c r="Y12" i="20"/>
  <c r="R8" i="20"/>
  <c r="S10" i="20"/>
  <c r="U11" i="20"/>
  <c r="S8" i="20"/>
  <c r="T9" i="20"/>
  <c r="R5" i="20"/>
  <c r="Y8" i="20"/>
  <c r="R7" i="20"/>
  <c r="S7" i="20"/>
  <c r="Y11" i="20"/>
  <c r="T14" i="20"/>
  <c r="T13" i="20"/>
  <c r="I30" i="20"/>
  <c r="J30" i="20" s="1"/>
  <c r="W14" i="20" s="1"/>
  <c r="J10" i="9"/>
  <c r="I25" i="20"/>
  <c r="J25" i="20" s="1"/>
  <c r="W9" i="20" s="1"/>
  <c r="J5" i="9"/>
  <c r="U9" i="20"/>
  <c r="Y10" i="20"/>
  <c r="Y14" i="20"/>
  <c r="S9" i="20"/>
  <c r="F6" i="4" a="1"/>
  <c r="F6" i="4" s="1"/>
  <c r="F6" i="20" s="1"/>
  <c r="R3" i="6"/>
  <c r="Q3" i="6"/>
  <c r="S3" i="6"/>
  <c r="F5" i="4" a="1"/>
  <c r="F5" i="4" s="1"/>
  <c r="F5" i="20" s="1"/>
  <c r="S5" i="20" s="1"/>
  <c r="E6" i="4" a="1"/>
  <c r="E6" i="4" s="1"/>
  <c r="E6" i="20" s="1"/>
  <c r="F4" i="4" a="1"/>
  <c r="F4" i="4" s="1"/>
  <c r="F4" i="20" s="1"/>
  <c r="S4" i="20" s="1"/>
  <c r="E4" i="4" a="1"/>
  <c r="E4" i="4" s="1"/>
  <c r="E4" i="20" s="1"/>
  <c r="R4" i="20" s="1"/>
  <c r="F3" i="4" a="1"/>
  <c r="F3" i="4" s="1"/>
  <c r="F3" i="20" s="1"/>
  <c r="S3" i="20" s="1"/>
  <c r="E3" i="4" a="1"/>
  <c r="E3" i="4" s="1"/>
  <c r="E3" i="20" s="1"/>
  <c r="R3" i="20" s="1"/>
  <c r="Q9" i="6"/>
  <c r="Q7" i="6"/>
  <c r="Q6" i="6"/>
  <c r="Q5" i="6"/>
  <c r="I5" i="4" s="1"/>
  <c r="I5" i="20" s="1"/>
  <c r="Q2" i="6"/>
  <c r="P2" i="6"/>
  <c r="L3" i="6"/>
  <c r="K14" i="6"/>
  <c r="L14" i="6" s="1"/>
  <c r="V13" i="20" l="1"/>
  <c r="Z13" i="20" s="1"/>
  <c r="V11" i="20"/>
  <c r="Z11" i="20" s="1"/>
  <c r="V8" i="20"/>
  <c r="Z8" i="20" s="1"/>
  <c r="V7" i="20"/>
  <c r="Z7" i="20" s="1"/>
  <c r="V9" i="20"/>
  <c r="Z9" i="20" s="1"/>
  <c r="Z10" i="20"/>
  <c r="V14" i="20"/>
  <c r="Z14" i="20" s="1"/>
  <c r="Q2" i="20"/>
  <c r="P2" i="20"/>
  <c r="U2" i="20"/>
  <c r="X2" i="20"/>
  <c r="Y2" i="20"/>
  <c r="I22" i="20"/>
  <c r="I22" i="9"/>
  <c r="J2" i="9"/>
  <c r="V12" i="20"/>
  <c r="Z12" i="20" s="1"/>
  <c r="J5" i="20"/>
  <c r="W5" i="20" s="1"/>
  <c r="V5" i="20"/>
  <c r="I6" i="4"/>
  <c r="I6" i="20" s="1"/>
  <c r="J6" i="20" s="1"/>
  <c r="G6" i="4"/>
  <c r="G6" i="20" s="1"/>
  <c r="G5" i="4"/>
  <c r="G5" i="20" s="1"/>
  <c r="T5" i="20" s="1"/>
  <c r="G3" i="4"/>
  <c r="G3" i="20" s="1"/>
  <c r="T3" i="20" s="1"/>
  <c r="F2" i="4" a="1"/>
  <c r="F2" i="4" s="1"/>
  <c r="F2" i="20" s="1"/>
  <c r="S2" i="20" s="1"/>
  <c r="E2" i="4" a="1"/>
  <c r="E2" i="4" s="1"/>
  <c r="E2" i="20" s="1"/>
  <c r="R2" i="20" s="1"/>
  <c r="I4" i="4"/>
  <c r="I4" i="20" s="1"/>
  <c r="G4" i="4"/>
  <c r="G4" i="20" s="1"/>
  <c r="T4" i="20" s="1"/>
  <c r="I3" i="4"/>
  <c r="I3" i="20" s="1"/>
  <c r="K7" i="6"/>
  <c r="R2" i="6" s="1"/>
  <c r="K8" i="6"/>
  <c r="J22" i="20" l="1"/>
  <c r="W6" i="20" s="1"/>
  <c r="V6" i="20"/>
  <c r="Z6" i="20" s="1"/>
  <c r="Z5" i="20"/>
  <c r="J3" i="20"/>
  <c r="W3" i="20" s="1"/>
  <c r="V3" i="20"/>
  <c r="J4" i="20"/>
  <c r="W4" i="20" s="1"/>
  <c r="V4" i="20"/>
  <c r="J4" i="4"/>
  <c r="J3" i="4"/>
  <c r="R5" i="6"/>
  <c r="J5" i="4" s="1"/>
  <c r="R6" i="6"/>
  <c r="J6" i="4" s="1"/>
  <c r="I2" i="4"/>
  <c r="I2" i="20" s="1"/>
  <c r="G2" i="4"/>
  <c r="G2" i="20" s="1"/>
  <c r="T2" i="20" s="1"/>
  <c r="L8" i="6"/>
  <c r="R8" i="6"/>
  <c r="L7" i="6"/>
  <c r="R7" i="6"/>
  <c r="Z3" i="20" l="1"/>
  <c r="Z4" i="20"/>
  <c r="J2" i="20"/>
  <c r="W2" i="20" s="1"/>
  <c r="V2" i="20"/>
  <c r="AA4" i="20" s="1"/>
  <c r="S6" i="6"/>
  <c r="S2" i="6"/>
  <c r="B14" i="13"/>
  <c r="S7" i="6"/>
  <c r="S5" i="6"/>
  <c r="J2" i="4"/>
  <c r="I22" i="4"/>
  <c r="M9" i="6"/>
  <c r="S8" i="6"/>
  <c r="K10" i="6"/>
  <c r="L10" i="6" s="1"/>
  <c r="Z2" i="20" l="1"/>
  <c r="AA2" i="20"/>
  <c r="AA14" i="20"/>
  <c r="AA12" i="20"/>
  <c r="AA11" i="20"/>
  <c r="AA7" i="20"/>
  <c r="AA8" i="20"/>
  <c r="AA9" i="20"/>
  <c r="AA13" i="20"/>
  <c r="AA10" i="20"/>
  <c r="AA6" i="20"/>
  <c r="AA5" i="20"/>
  <c r="AA3" i="20"/>
  <c r="P9" i="6"/>
  <c r="K9" i="6"/>
  <c r="K11" i="6"/>
  <c r="L9" i="6" l="1"/>
  <c r="R9" i="6"/>
  <c r="L11" i="6"/>
  <c r="M13" i="6" s="1"/>
  <c r="K13" i="6" s="1"/>
  <c r="L13" i="6" s="1"/>
  <c r="M10" i="6" l="1"/>
  <c r="S9"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4">
    <bk>
      <extLst>
        <ext uri="{3e2802c4-a4d2-4d8b-9148-e3be6c30e623}">
          <xlrd:rvb i="6"/>
        </ext>
      </extLst>
    </bk>
    <bk>
      <extLst>
        <ext uri="{3e2802c4-a4d2-4d8b-9148-e3be6c30e623}">
          <xlrd:rvb i="9"/>
        </ext>
      </extLst>
    </bk>
    <bk>
      <extLst>
        <ext uri="{3e2802c4-a4d2-4d8b-9148-e3be6c30e623}">
          <xlrd:rvb i="16"/>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30"/>
        </ext>
      </extLst>
    </bk>
    <bk>
      <extLst>
        <ext uri="{3e2802c4-a4d2-4d8b-9148-e3be6c30e623}">
          <xlrd:rvb i="36"/>
        </ext>
      </extLst>
    </bk>
    <bk>
      <extLst>
        <ext uri="{3e2802c4-a4d2-4d8b-9148-e3be6c30e623}">
          <xlrd:rvb i="42"/>
        </ext>
      </extLst>
    </bk>
    <bk>
      <extLst>
        <ext uri="{3e2802c4-a4d2-4d8b-9148-e3be6c30e623}">
          <xlrd:rvb i="48"/>
        </ext>
      </extLst>
    </bk>
    <bk>
      <extLst>
        <ext uri="{3e2802c4-a4d2-4d8b-9148-e3be6c30e623}">
          <xlrd:rvb i="54"/>
        </ext>
      </extLst>
    </bk>
    <bk>
      <extLst>
        <ext uri="{3e2802c4-a4d2-4d8b-9148-e3be6c30e623}">
          <xlrd:rvb i="60"/>
        </ext>
      </extLst>
    </bk>
    <bk>
      <extLst>
        <ext uri="{3e2802c4-a4d2-4d8b-9148-e3be6c30e623}">
          <xlrd:rvb i="66"/>
        </ext>
      </extLst>
    </bk>
    <bk>
      <extLst>
        <ext uri="{3e2802c4-a4d2-4d8b-9148-e3be6c30e623}">
          <xlrd:rvb i="72"/>
        </ext>
      </extLst>
    </bk>
  </futureMetadata>
  <cellMetadata count="1">
    <bk>
      <rc t="1" v="0"/>
    </bk>
  </cellMetadata>
  <valueMetadata count="14">
    <bk>
      <rc t="2" v="0"/>
    </bk>
    <bk>
      <rc t="2" v="1"/>
    </bk>
    <bk>
      <rc t="2" v="2"/>
    </bk>
    <bk>
      <rc t="2" v="3"/>
    </bk>
    <bk>
      <rc t="2" v="4"/>
    </bk>
    <bk>
      <rc t="2" v="5"/>
    </bk>
    <bk>
      <rc t="2" v="6"/>
    </bk>
    <bk>
      <rc t="2" v="7"/>
    </bk>
    <bk>
      <rc t="2" v="8"/>
    </bk>
    <bk>
      <rc t="2" v="9"/>
    </bk>
    <bk>
      <rc t="2" v="10"/>
    </bk>
    <bk>
      <rc t="2" v="11"/>
    </bk>
    <bk>
      <rc t="2" v="12"/>
    </bk>
    <bk>
      <rc t="2" v="13"/>
    </bk>
  </valueMetadata>
</metadata>
</file>

<file path=xl/sharedStrings.xml><?xml version="1.0" encoding="utf-8"?>
<sst xmlns="http://schemas.openxmlformats.org/spreadsheetml/2006/main" count="310" uniqueCount="134">
  <si>
    <t>AAAU</t>
  </si>
  <si>
    <t>AAPL</t>
  </si>
  <si>
    <t>ACB</t>
  </si>
  <si>
    <t>ACN</t>
  </si>
  <si>
    <t>AMD</t>
  </si>
  <si>
    <t>AMZN</t>
  </si>
  <si>
    <t>AOBC</t>
  </si>
  <si>
    <t>AXP</t>
  </si>
  <si>
    <t>AYI</t>
  </si>
  <si>
    <t>AZZ</t>
  </si>
  <si>
    <t>BABA</t>
  </si>
  <si>
    <t>BEP</t>
  </si>
  <si>
    <t>BHP</t>
  </si>
  <si>
    <t>BITA</t>
  </si>
  <si>
    <t>BKS</t>
  </si>
  <si>
    <t>C</t>
  </si>
  <si>
    <t>CMC</t>
  </si>
  <si>
    <t>COST</t>
  </si>
  <si>
    <t>CRWD</t>
  </si>
  <si>
    <t>DLTH</t>
  </si>
  <si>
    <t>EWA</t>
  </si>
  <si>
    <t>FXA</t>
  </si>
  <si>
    <t>GBX</t>
  </si>
  <si>
    <t>GES</t>
  </si>
  <si>
    <t>GOOGL</t>
  </si>
  <si>
    <t>GS</t>
  </si>
  <si>
    <t>HDS</t>
  </si>
  <si>
    <t>HIBB</t>
  </si>
  <si>
    <t>HRB</t>
  </si>
  <si>
    <t>HSBC</t>
  </si>
  <si>
    <t>HX</t>
  </si>
  <si>
    <t>IAU</t>
  </si>
  <si>
    <t>IGLB</t>
  </si>
  <si>
    <t>JBL</t>
  </si>
  <si>
    <t>JP</t>
  </si>
  <si>
    <t>JPM</t>
  </si>
  <si>
    <t>LEN</t>
  </si>
  <si>
    <t>LNG</t>
  </si>
  <si>
    <t>LULU</t>
  </si>
  <si>
    <t>LZB</t>
  </si>
  <si>
    <t>MA</t>
  </si>
  <si>
    <t>MRK</t>
  </si>
  <si>
    <t>MSFT</t>
  </si>
  <si>
    <t>MU</t>
  </si>
  <si>
    <t>NAT</t>
  </si>
  <si>
    <t>NEP</t>
  </si>
  <si>
    <t>NKE</t>
  </si>
  <si>
    <t>PDCO</t>
  </si>
  <si>
    <t>PLAY</t>
  </si>
  <si>
    <t>RBS</t>
  </si>
  <si>
    <t>RHT</t>
  </si>
  <si>
    <t>RIO</t>
  </si>
  <si>
    <t>RUHN</t>
  </si>
  <si>
    <t>SBUX</t>
  </si>
  <si>
    <t>SECO</t>
  </si>
  <si>
    <t>SLV</t>
  </si>
  <si>
    <t>SQ</t>
  </si>
  <si>
    <t>SWKS</t>
  </si>
  <si>
    <t>TALO</t>
  </si>
  <si>
    <t>TEAM</t>
  </si>
  <si>
    <t>TLT</t>
  </si>
  <si>
    <t>TNXP</t>
  </si>
  <si>
    <t>TSLA</t>
  </si>
  <si>
    <t>VOO</t>
  </si>
  <si>
    <t>WBK</t>
  </si>
  <si>
    <t>XEL</t>
  </si>
  <si>
    <t>XRX</t>
  </si>
  <si>
    <t>Grand Total</t>
  </si>
  <si>
    <t>Transactions that have completed</t>
  </si>
  <si>
    <t>Quantity</t>
  </si>
  <si>
    <t>Portfolio Value</t>
  </si>
  <si>
    <t>Code</t>
  </si>
  <si>
    <t>Number of Shares</t>
  </si>
  <si>
    <t>Total Cost</t>
  </si>
  <si>
    <t>Transaction</t>
  </si>
  <si>
    <t>BUY</t>
  </si>
  <si>
    <t>Last Price</t>
  </si>
  <si>
    <t>Price Change</t>
  </si>
  <si>
    <t>Daily Profit/Loss</t>
  </si>
  <si>
    <t>Market Value</t>
  </si>
  <si>
    <t>Unrealised P/L</t>
  </si>
  <si>
    <t>WBC</t>
  </si>
  <si>
    <t>IOZ</t>
  </si>
  <si>
    <t>Cost Basis</t>
  </si>
  <si>
    <t>Total Cost Basis</t>
  </si>
  <si>
    <t>P/S COST Price</t>
  </si>
  <si>
    <t>Price P/S</t>
  </si>
  <si>
    <t>Realised P/L</t>
  </si>
  <si>
    <t>Running Quantity</t>
  </si>
  <si>
    <t>Count</t>
  </si>
  <si>
    <t>Unique ID</t>
  </si>
  <si>
    <t>Order Type</t>
  </si>
  <si>
    <t>Value of the Order</t>
  </si>
  <si>
    <t>Per Share Value</t>
  </si>
  <si>
    <t>CBA</t>
  </si>
  <si>
    <t>Entry Price P/S</t>
  </si>
  <si>
    <t>P/S Cost Price</t>
  </si>
  <si>
    <t>Australian</t>
  </si>
  <si>
    <t>sdb</t>
  </si>
  <si>
    <t>American</t>
  </si>
  <si>
    <t>Company</t>
  </si>
  <si>
    <t/>
  </si>
  <si>
    <t>MV \ Date</t>
  </si>
  <si>
    <t>Total</t>
  </si>
  <si>
    <t>Australian Investment (AUD)</t>
  </si>
  <si>
    <t>American Investment (USD)</t>
  </si>
  <si>
    <t>USD --&gt; AUD</t>
  </si>
  <si>
    <t>American Investment (AUD)</t>
  </si>
  <si>
    <t>Total Investment Value (AUD)</t>
  </si>
  <si>
    <t>Total Money Invested (AUD)</t>
  </si>
  <si>
    <t>Unrealised Profit (%)</t>
  </si>
  <si>
    <t>Realised Profit</t>
  </si>
  <si>
    <t>Overall Profit (%)</t>
  </si>
  <si>
    <t>Invested in Australia currently</t>
  </si>
  <si>
    <t>AUD Invested in America Currently</t>
  </si>
  <si>
    <t>Ever invested in Australia</t>
  </si>
  <si>
    <t>Ever invested in America</t>
  </si>
  <si>
    <t>Investments</t>
  </si>
  <si>
    <t>Total Value of those investments</t>
  </si>
  <si>
    <t>Total Funding currently in the market</t>
  </si>
  <si>
    <t>Value of Unrealised Profits</t>
  </si>
  <si>
    <t>Value of Realised Profits</t>
  </si>
  <si>
    <t>Overall Profit on funds ever invested (realised or not)</t>
  </si>
  <si>
    <t>SELL</t>
  </si>
  <si>
    <t>TLS</t>
  </si>
  <si>
    <t>DIV</t>
  </si>
  <si>
    <t>Profit</t>
  </si>
  <si>
    <t>P/L Percentage</t>
  </si>
  <si>
    <t>Cash</t>
  </si>
  <si>
    <t>Weight</t>
  </si>
  <si>
    <t>ASX200</t>
  </si>
  <si>
    <t>Bonds</t>
  </si>
  <si>
    <t>Beta</t>
  </si>
  <si>
    <t>Inudstry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</si>
</sst>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quot;$&quot;#,##0.00"/>
    <numFmt numFmtId="44" formatCode="_-&quot;$&quot;* #,##0.00_-;\-&quot;$&quot;* #,##0.00_-;_-&quot;$&quot;* &quot;-&quot;??_-;_-@_-"/>
    <numFmt numFmtId="168" formatCode="_-[$$-C09]* #,##0.00_-;\-[$$-C09]* #,##0.00_-;_-[$$-C09]* &quot;-&quot;??_-;_-@_-"/>
    <numFmt numFmtId="169" formatCode="0.0000"/>
    <numFmt numFmtId="170" formatCode="0.000"/>
  </numFmts>
  <fonts count="4" x14ac:knownFonts="1">
    <font>
      <sz val="11"/>
      <color theme="1"/>
      <name val="Calibri"/>
      <family val="2"/>
      <scheme val="minor"/>
    </font>
    <font>
      <b/>
      <sz val="11"/>
      <color theme="1"/>
      <name val="Calibri"/>
      <family val="2"/>
      <scheme val="minor"/>
    </font>
    <font>
      <b/>
      <sz val="10"/>
      <name val="Arial"/>
      <family val="2"/>
    </font>
    <font>
      <b/>
      <sz val="14"/>
      <color theme="1"/>
      <name val="Calibri"/>
      <family val="2"/>
      <scheme val="minor"/>
    </font>
  </fonts>
  <fills count="5">
    <fill>
      <patternFill patternType="none"/>
    </fill>
    <fill>
      <patternFill patternType="gray125"/>
    </fill>
    <fill>
      <patternFill patternType="solid">
        <fgColor theme="1"/>
        <bgColor indexed="64"/>
      </patternFill>
    </fill>
    <fill>
      <patternFill patternType="solid">
        <fgColor theme="9" tint="0.79998168889431442"/>
        <bgColor indexed="64"/>
      </patternFill>
    </fill>
    <fill>
      <patternFill patternType="solid">
        <fgColor theme="7" tint="0.7999816888943144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83">
    <xf numFmtId="0" fontId="0" fillId="0" borderId="0" xfId="0"/>
    <xf numFmtId="0" fontId="0" fillId="0" borderId="1" xfId="0" applyBorder="1"/>
    <xf numFmtId="0" fontId="0" fillId="0" borderId="2" xfId="0" applyBorder="1"/>
    <xf numFmtId="2" fontId="0" fillId="0" borderId="2" xfId="0" applyNumberFormat="1" applyBorder="1"/>
    <xf numFmtId="0" fontId="0" fillId="0" borderId="4" xfId="0" applyBorder="1"/>
    <xf numFmtId="0" fontId="0" fillId="0" borderId="0" xfId="0" applyBorder="1"/>
    <xf numFmtId="2" fontId="0" fillId="0" borderId="0" xfId="0" applyNumberFormat="1" applyBorder="1"/>
    <xf numFmtId="0" fontId="0" fillId="0" borderId="6" xfId="0" applyBorder="1"/>
    <xf numFmtId="0" fontId="0" fillId="0" borderId="7" xfId="0" applyBorder="1"/>
    <xf numFmtId="2" fontId="0" fillId="0" borderId="7" xfId="0" applyNumberFormat="1" applyBorder="1"/>
    <xf numFmtId="0" fontId="1" fillId="0" borderId="9" xfId="0" applyFont="1" applyBorder="1"/>
    <xf numFmtId="0" fontId="1" fillId="0" borderId="10" xfId="0" applyFont="1" applyBorder="1"/>
    <xf numFmtId="169" fontId="0" fillId="0" borderId="2" xfId="0" applyNumberFormat="1" applyBorder="1"/>
    <xf numFmtId="169" fontId="0" fillId="0" borderId="0" xfId="0" applyNumberFormat="1" applyBorder="1"/>
    <xf numFmtId="169" fontId="0" fillId="0" borderId="7" xfId="0" applyNumberFormat="1" applyBorder="1"/>
    <xf numFmtId="168" fontId="0" fillId="0" borderId="0" xfId="0" applyNumberFormat="1" applyBorder="1"/>
    <xf numFmtId="44" fontId="0" fillId="0" borderId="0" xfId="0" applyNumberFormat="1" applyBorder="1"/>
    <xf numFmtId="0" fontId="0" fillId="0" borderId="0" xfId="0" applyFill="1" applyBorder="1"/>
    <xf numFmtId="0" fontId="1" fillId="0" borderId="0" xfId="0" applyFont="1"/>
    <xf numFmtId="0" fontId="2" fillId="0" borderId="1" xfId="0" applyFont="1" applyBorder="1"/>
    <xf numFmtId="0" fontId="2" fillId="0" borderId="2" xfId="0" applyFont="1" applyBorder="1"/>
    <xf numFmtId="0" fontId="2" fillId="0" borderId="3" xfId="0" applyFont="1" applyBorder="1"/>
    <xf numFmtId="170" fontId="0" fillId="0" borderId="3" xfId="0" applyNumberFormat="1" applyBorder="1"/>
    <xf numFmtId="170" fontId="0" fillId="0" borderId="5" xfId="0" applyNumberFormat="1" applyBorder="1"/>
    <xf numFmtId="170" fontId="0" fillId="0" borderId="8" xfId="0" applyNumberFormat="1" applyBorder="1"/>
    <xf numFmtId="0" fontId="0" fillId="2" borderId="2" xfId="0" applyFill="1" applyBorder="1"/>
    <xf numFmtId="0" fontId="0" fillId="2" borderId="0" xfId="0" applyFill="1" applyBorder="1"/>
    <xf numFmtId="0" fontId="0" fillId="2" borderId="7" xfId="0" applyFill="1" applyBorder="1"/>
    <xf numFmtId="0" fontId="1" fillId="2" borderId="10" xfId="0" applyFont="1" applyFill="1" applyBorder="1"/>
    <xf numFmtId="0" fontId="1" fillId="0" borderId="11" xfId="0" applyFont="1" applyBorder="1"/>
    <xf numFmtId="2" fontId="0" fillId="0" borderId="3" xfId="0" applyNumberFormat="1" applyBorder="1"/>
    <xf numFmtId="2" fontId="0" fillId="0" borderId="5" xfId="0" applyNumberFormat="1" applyBorder="1"/>
    <xf numFmtId="2" fontId="0" fillId="0" borderId="8" xfId="0" applyNumberFormat="1" applyBorder="1"/>
    <xf numFmtId="169" fontId="0" fillId="0" borderId="0" xfId="0" applyNumberFormat="1" applyFill="1" applyBorder="1"/>
    <xf numFmtId="0" fontId="1" fillId="0" borderId="1" xfId="0" applyFont="1" applyBorder="1"/>
    <xf numFmtId="0" fontId="1" fillId="0" borderId="2" xfId="0" applyFont="1" applyBorder="1"/>
    <xf numFmtId="0" fontId="1" fillId="2" borderId="2" xfId="0" applyFont="1" applyFill="1" applyBorder="1"/>
    <xf numFmtId="0" fontId="1" fillId="0" borderId="3" xfId="0" applyFont="1" applyBorder="1"/>
    <xf numFmtId="0" fontId="0" fillId="0" borderId="1" xfId="0" applyFill="1" applyBorder="1"/>
    <xf numFmtId="0" fontId="0" fillId="0" borderId="2" xfId="0" applyFill="1" applyBorder="1"/>
    <xf numFmtId="0" fontId="0" fillId="0" borderId="4" xfId="0" applyFill="1" applyBorder="1"/>
    <xf numFmtId="0" fontId="0" fillId="0" borderId="6" xfId="0" applyFill="1" applyBorder="1"/>
    <xf numFmtId="0" fontId="0" fillId="0" borderId="7" xfId="0" applyFill="1" applyBorder="1"/>
    <xf numFmtId="2" fontId="0" fillId="0" borderId="3" xfId="0" applyNumberFormat="1" applyFill="1" applyBorder="1"/>
    <xf numFmtId="2" fontId="0" fillId="0" borderId="5" xfId="0" applyNumberFormat="1" applyFill="1" applyBorder="1"/>
    <xf numFmtId="2" fontId="0" fillId="0" borderId="8" xfId="0" applyNumberFormat="1" applyFill="1" applyBorder="1"/>
    <xf numFmtId="168" fontId="0" fillId="0" borderId="2" xfId="0" applyNumberFormat="1" applyBorder="1"/>
    <xf numFmtId="44" fontId="0" fillId="0" borderId="2" xfId="0" applyNumberFormat="1" applyBorder="1"/>
    <xf numFmtId="168" fontId="0" fillId="0" borderId="7" xfId="0" applyNumberFormat="1" applyBorder="1"/>
    <xf numFmtId="44" fontId="0" fillId="0" borderId="7" xfId="0" applyNumberFormat="1" applyBorder="1"/>
    <xf numFmtId="14" fontId="0" fillId="0" borderId="0" xfId="0" applyNumberFormat="1"/>
    <xf numFmtId="2" fontId="0" fillId="0" borderId="0" xfId="0" applyNumberFormat="1"/>
    <xf numFmtId="10" fontId="0" fillId="0" borderId="0" xfId="0" applyNumberFormat="1"/>
    <xf numFmtId="0" fontId="0" fillId="0" borderId="0" xfId="0" applyNumberFormat="1"/>
    <xf numFmtId="0" fontId="3" fillId="3" borderId="0" xfId="0" applyFont="1" applyFill="1"/>
    <xf numFmtId="0" fontId="2" fillId="3" borderId="2" xfId="0" applyFont="1" applyFill="1" applyBorder="1"/>
    <xf numFmtId="0" fontId="2" fillId="3" borderId="0" xfId="0" applyFont="1" applyFill="1" applyBorder="1"/>
    <xf numFmtId="0" fontId="0" fillId="3" borderId="0" xfId="0" applyFill="1"/>
    <xf numFmtId="2" fontId="0" fillId="3" borderId="0" xfId="0" applyNumberFormat="1" applyFill="1"/>
    <xf numFmtId="0" fontId="1" fillId="3" borderId="0" xfId="0" applyFont="1" applyFill="1"/>
    <xf numFmtId="10" fontId="0" fillId="3" borderId="0" xfId="0" applyNumberFormat="1" applyFill="1"/>
    <xf numFmtId="2" fontId="1" fillId="3" borderId="0" xfId="0" applyNumberFormat="1" applyFont="1" applyFill="1"/>
    <xf numFmtId="0" fontId="0" fillId="4" borderId="0" xfId="0" applyFill="1"/>
    <xf numFmtId="2" fontId="0" fillId="4" borderId="0" xfId="0" applyNumberFormat="1" applyFill="1"/>
    <xf numFmtId="10" fontId="0" fillId="4" borderId="0" xfId="0" applyNumberFormat="1" applyFill="1"/>
    <xf numFmtId="0" fontId="1" fillId="0" borderId="10" xfId="0" applyFont="1" applyFill="1" applyBorder="1"/>
    <xf numFmtId="0" fontId="1" fillId="0" borderId="11" xfId="0" applyFont="1" applyFill="1" applyBorder="1"/>
    <xf numFmtId="0" fontId="0" fillId="3" borderId="6" xfId="0" applyFill="1" applyBorder="1"/>
    <xf numFmtId="168" fontId="0" fillId="3" borderId="8" xfId="0" applyNumberFormat="1" applyFill="1" applyBorder="1"/>
    <xf numFmtId="44" fontId="0" fillId="3" borderId="8" xfId="0" applyNumberFormat="1" applyFill="1" applyBorder="1"/>
    <xf numFmtId="44" fontId="0" fillId="0" borderId="3" xfId="0" applyNumberFormat="1" applyBorder="1"/>
    <xf numFmtId="44" fontId="0" fillId="0" borderId="5" xfId="0" applyNumberFormat="1" applyBorder="1"/>
    <xf numFmtId="44" fontId="0" fillId="0" borderId="8" xfId="0" applyNumberFormat="1" applyBorder="1"/>
    <xf numFmtId="44" fontId="0" fillId="0" borderId="0" xfId="0" applyNumberFormat="1"/>
    <xf numFmtId="7" fontId="0" fillId="0" borderId="0" xfId="0" applyNumberFormat="1"/>
    <xf numFmtId="0" fontId="0" fillId="0" borderId="3" xfId="0" applyBorder="1"/>
    <xf numFmtId="0" fontId="0" fillId="0" borderId="5" xfId="0" applyBorder="1"/>
    <xf numFmtId="0" fontId="0" fillId="0" borderId="8" xfId="0" applyBorder="1"/>
    <xf numFmtId="4" fontId="0" fillId="0" borderId="0" xfId="0" applyNumberFormat="1"/>
    <xf numFmtId="0" fontId="0" fillId="0" borderId="3" xfId="0" applyFill="1" applyBorder="1"/>
    <xf numFmtId="0" fontId="0" fillId="0" borderId="5" xfId="0" applyFill="1" applyBorder="1"/>
    <xf numFmtId="0" fontId="0" fillId="0" borderId="8" xfId="0" applyFill="1" applyBorder="1"/>
    <xf numFmtId="0" fontId="1" fillId="0" borderId="0" xfId="0" applyFont="1" applyFill="1" applyBorder="1"/>
  </cellXfs>
  <cellStyles count="1">
    <cellStyle name="Normal" xfId="0" builtinId="0"/>
  </cellStyles>
  <dxfs count="12">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ichStyles" Target="richData/richStyles.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AU"/>
              <a:t>Contributors</a:t>
            </a:r>
            <a:r>
              <a:rPr lang="en-AU" baseline="0"/>
              <a:t> to returns</a:t>
            </a:r>
            <a:endParaRPr lang="en-AU"/>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pieChart>
        <c:varyColors val="1"/>
        <c:ser>
          <c:idx val="0"/>
          <c:order val="0"/>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B2AF-47DF-B4C6-AE89A01D32DF}"/>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B2AF-47DF-B4C6-AE89A01D32DF}"/>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B2AF-47DF-B4C6-AE89A01D32DF}"/>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B2AF-47DF-B4C6-AE89A01D32DF}"/>
              </c:ext>
            </c:extLst>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extLst>
              <c:ext xmlns:c16="http://schemas.microsoft.com/office/drawing/2014/chart" uri="{C3380CC4-5D6E-409C-BE32-E72D297353CC}">
                <c16:uniqueId val="{00000009-B2AF-47DF-B4C6-AE89A01D32DF}"/>
              </c:ext>
            </c:extLst>
          </c:dPt>
          <c:dPt>
            <c:idx val="5"/>
            <c:bubble3D val="0"/>
            <c:spPr>
              <a:pattFill prst="ltUpDiag">
                <a:fgClr>
                  <a:schemeClr val="accent6"/>
                </a:fgClr>
                <a:bgClr>
                  <a:schemeClr val="accent6">
                    <a:lumMod val="20000"/>
                    <a:lumOff val="80000"/>
                  </a:schemeClr>
                </a:bgClr>
              </a:pattFill>
              <a:ln w="19050">
                <a:solidFill>
                  <a:schemeClr val="lt1"/>
                </a:solidFill>
              </a:ln>
              <a:effectLst>
                <a:innerShdw blurRad="114300">
                  <a:schemeClr val="accent6"/>
                </a:innerShdw>
              </a:effectLst>
            </c:spPr>
            <c:extLst>
              <c:ext xmlns:c16="http://schemas.microsoft.com/office/drawing/2014/chart" uri="{C3380CC4-5D6E-409C-BE32-E72D297353CC}">
                <c16:uniqueId val="{0000000B-B2AF-47DF-B4C6-AE89A01D32DF}"/>
              </c:ext>
            </c:extLst>
          </c:dPt>
          <c:dPt>
            <c:idx val="6"/>
            <c:bubble3D val="0"/>
            <c:spPr>
              <a:pattFill prst="ltUpDiag">
                <a:fgClr>
                  <a:schemeClr val="accent1">
                    <a:lumMod val="60000"/>
                  </a:schemeClr>
                </a:fgClr>
                <a:bgClr>
                  <a:schemeClr val="accent1">
                    <a:lumMod val="60000"/>
                    <a:lumMod val="20000"/>
                    <a:lumOff val="80000"/>
                  </a:schemeClr>
                </a:bgClr>
              </a:pattFill>
              <a:ln w="19050">
                <a:solidFill>
                  <a:schemeClr val="lt1"/>
                </a:solidFill>
              </a:ln>
              <a:effectLst>
                <a:innerShdw blurRad="114300">
                  <a:schemeClr val="accent1">
                    <a:lumMod val="60000"/>
                  </a:schemeClr>
                </a:innerShdw>
              </a:effectLst>
            </c:spPr>
            <c:extLst>
              <c:ext xmlns:c16="http://schemas.microsoft.com/office/drawing/2014/chart" uri="{C3380CC4-5D6E-409C-BE32-E72D297353CC}">
                <c16:uniqueId val="{0000000D-B2AF-47DF-B4C6-AE89A01D32DF}"/>
              </c:ext>
            </c:extLst>
          </c:dPt>
          <c:dPt>
            <c:idx val="7"/>
            <c:bubble3D val="0"/>
            <c:spPr>
              <a:pattFill prst="ltUpDiag">
                <a:fgClr>
                  <a:schemeClr val="accent2">
                    <a:lumMod val="60000"/>
                  </a:schemeClr>
                </a:fgClr>
                <a:bgClr>
                  <a:schemeClr val="accent2">
                    <a:lumMod val="60000"/>
                    <a:lumMod val="20000"/>
                    <a:lumOff val="80000"/>
                  </a:schemeClr>
                </a:bgClr>
              </a:pattFill>
              <a:ln w="19050">
                <a:solidFill>
                  <a:schemeClr val="lt1"/>
                </a:solidFill>
              </a:ln>
              <a:effectLst>
                <a:innerShdw blurRad="114300">
                  <a:schemeClr val="accent2">
                    <a:lumMod val="60000"/>
                  </a:schemeClr>
                </a:innerShdw>
              </a:effectLst>
            </c:spPr>
            <c:extLst>
              <c:ext xmlns:c16="http://schemas.microsoft.com/office/drawing/2014/chart" uri="{C3380CC4-5D6E-409C-BE32-E72D297353CC}">
                <c16:uniqueId val="{0000000F-B2AF-47DF-B4C6-AE89A01D32DF}"/>
              </c:ext>
            </c:extLst>
          </c:dPt>
          <c:dPt>
            <c:idx val="8"/>
            <c:bubble3D val="0"/>
            <c:spPr>
              <a:pattFill prst="ltUpDiag">
                <a:fgClr>
                  <a:schemeClr val="accent3">
                    <a:lumMod val="60000"/>
                  </a:schemeClr>
                </a:fgClr>
                <a:bgClr>
                  <a:schemeClr val="accent3">
                    <a:lumMod val="60000"/>
                    <a:lumMod val="20000"/>
                    <a:lumOff val="80000"/>
                  </a:schemeClr>
                </a:bgClr>
              </a:pattFill>
              <a:ln w="19050">
                <a:solidFill>
                  <a:schemeClr val="lt1"/>
                </a:solidFill>
              </a:ln>
              <a:effectLst>
                <a:innerShdw blurRad="114300">
                  <a:schemeClr val="accent3">
                    <a:lumMod val="60000"/>
                  </a:schemeClr>
                </a:innerShdw>
              </a:effectLst>
            </c:spPr>
            <c:extLst>
              <c:ext xmlns:c16="http://schemas.microsoft.com/office/drawing/2014/chart" uri="{C3380CC4-5D6E-409C-BE32-E72D297353CC}">
                <c16:uniqueId val="{00000011-B2AF-47DF-B4C6-AE89A01D32DF}"/>
              </c:ext>
            </c:extLst>
          </c:dPt>
          <c:dPt>
            <c:idx val="9"/>
            <c:bubble3D val="0"/>
            <c:spPr>
              <a:pattFill prst="ltUpDiag">
                <a:fgClr>
                  <a:schemeClr val="accent4">
                    <a:lumMod val="60000"/>
                  </a:schemeClr>
                </a:fgClr>
                <a:bgClr>
                  <a:schemeClr val="accent4">
                    <a:lumMod val="60000"/>
                    <a:lumMod val="20000"/>
                    <a:lumOff val="80000"/>
                  </a:schemeClr>
                </a:bgClr>
              </a:pattFill>
              <a:ln w="19050">
                <a:solidFill>
                  <a:schemeClr val="lt1"/>
                </a:solidFill>
              </a:ln>
              <a:effectLst>
                <a:innerShdw blurRad="114300">
                  <a:schemeClr val="accent4">
                    <a:lumMod val="60000"/>
                  </a:schemeClr>
                </a:innerShdw>
              </a:effectLst>
            </c:spPr>
            <c:extLst>
              <c:ext xmlns:c16="http://schemas.microsoft.com/office/drawing/2014/chart" uri="{C3380CC4-5D6E-409C-BE32-E72D297353CC}">
                <c16:uniqueId val="{00000013-B2AF-47DF-B4C6-AE89A01D32DF}"/>
              </c:ext>
            </c:extLst>
          </c:dPt>
          <c:dPt>
            <c:idx val="10"/>
            <c:bubble3D val="0"/>
            <c:spPr>
              <a:pattFill prst="ltUpDiag">
                <a:fgClr>
                  <a:schemeClr val="accent5">
                    <a:lumMod val="60000"/>
                  </a:schemeClr>
                </a:fgClr>
                <a:bgClr>
                  <a:schemeClr val="accent5">
                    <a:lumMod val="60000"/>
                    <a:lumMod val="20000"/>
                    <a:lumOff val="80000"/>
                  </a:schemeClr>
                </a:bgClr>
              </a:pattFill>
              <a:ln w="19050">
                <a:solidFill>
                  <a:schemeClr val="lt1"/>
                </a:solidFill>
              </a:ln>
              <a:effectLst>
                <a:innerShdw blurRad="114300">
                  <a:schemeClr val="accent5">
                    <a:lumMod val="60000"/>
                  </a:schemeClr>
                </a:innerShdw>
              </a:effectLst>
            </c:spPr>
            <c:extLst>
              <c:ext xmlns:c16="http://schemas.microsoft.com/office/drawing/2014/chart" uri="{C3380CC4-5D6E-409C-BE32-E72D297353CC}">
                <c16:uniqueId val="{00000015-B2AF-47DF-B4C6-AE89A01D32DF}"/>
              </c:ext>
            </c:extLst>
          </c:dPt>
          <c:dPt>
            <c:idx val="11"/>
            <c:bubble3D val="0"/>
            <c:spPr>
              <a:pattFill prst="ltUpDiag">
                <a:fgClr>
                  <a:schemeClr val="accent6">
                    <a:lumMod val="60000"/>
                  </a:schemeClr>
                </a:fgClr>
                <a:bgClr>
                  <a:schemeClr val="accent6">
                    <a:lumMod val="60000"/>
                    <a:lumMod val="20000"/>
                    <a:lumOff val="80000"/>
                  </a:schemeClr>
                </a:bgClr>
              </a:pattFill>
              <a:ln w="19050">
                <a:solidFill>
                  <a:schemeClr val="lt1"/>
                </a:solidFill>
              </a:ln>
              <a:effectLst>
                <a:innerShdw blurRad="114300">
                  <a:schemeClr val="accent6">
                    <a:lumMod val="60000"/>
                  </a:schemeClr>
                </a:innerShdw>
              </a:effectLst>
            </c:spPr>
            <c:extLst>
              <c:ext xmlns:c16="http://schemas.microsoft.com/office/drawing/2014/chart" uri="{C3380CC4-5D6E-409C-BE32-E72D297353CC}">
                <c16:uniqueId val="{00000017-B2AF-47DF-B4C6-AE89A01D32DF}"/>
              </c:ext>
            </c:extLst>
          </c:dPt>
          <c:dPt>
            <c:idx val="12"/>
            <c:bubble3D val="0"/>
            <c:spPr>
              <a:pattFill prst="ltUpDiag">
                <a:fgClr>
                  <a:schemeClr val="accent1">
                    <a:lumMod val="80000"/>
                    <a:lumOff val="20000"/>
                  </a:schemeClr>
                </a:fgClr>
                <a:bgClr>
                  <a:schemeClr val="accent1">
                    <a:lumMod val="80000"/>
                    <a:lumOff val="20000"/>
                    <a:lumMod val="20000"/>
                    <a:lumOff val="80000"/>
                  </a:schemeClr>
                </a:bgClr>
              </a:pattFill>
              <a:ln w="19050">
                <a:solidFill>
                  <a:schemeClr val="lt1"/>
                </a:solidFill>
              </a:ln>
              <a:effectLst>
                <a:innerShdw blurRad="114300">
                  <a:schemeClr val="accent1">
                    <a:lumMod val="80000"/>
                    <a:lumOff val="20000"/>
                  </a:schemeClr>
                </a:innerShdw>
              </a:effectLst>
            </c:spPr>
            <c:extLst>
              <c:ext xmlns:c16="http://schemas.microsoft.com/office/drawing/2014/chart" uri="{C3380CC4-5D6E-409C-BE32-E72D297353CC}">
                <c16:uniqueId val="{00000019-B2AF-47DF-B4C6-AE89A01D32DF}"/>
              </c:ext>
            </c:extLst>
          </c:dPt>
          <c:dLbls>
            <c:dLbl>
              <c:idx val="1"/>
              <c:layout>
                <c:manualLayout>
                  <c:x val="5.2455889365760608E-2"/>
                  <c:y val="-0.11265738899933737"/>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B2AF-47DF-B4C6-AE89A01D32DF}"/>
                </c:ext>
              </c:extLst>
            </c:dLbl>
            <c:dLbl>
              <c:idx val="2"/>
              <c:layout>
                <c:manualLayout>
                  <c:x val="0.11206485455412495"/>
                  <c:y val="-1.656726308813784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B2AF-47DF-B4C6-AE89A01D32DF}"/>
                </c:ext>
              </c:extLst>
            </c:dLbl>
            <c:dLbl>
              <c:idx val="3"/>
              <c:layout>
                <c:manualLayout>
                  <c:x val="9.0605627086313784E-2"/>
                  <c:y val="6.2955599734923789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2AF-47DF-B4C6-AE89A01D32DF}"/>
                </c:ext>
              </c:extLst>
            </c:dLbl>
            <c:dLbl>
              <c:idx val="4"/>
              <c:layout>
                <c:manualLayout>
                  <c:x val="2.622794468288013E-2"/>
                  <c:y val="7.289595758780637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B2AF-47DF-B4C6-AE89A01D32D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'Joint Portfolio'!$N$2:$N$14</c:f>
              <c:strCache>
                <c:ptCount val="12"/>
                <c:pt idx="0">
                  <c:v>WBC</c:v>
                </c:pt>
                <c:pt idx="1">
                  <c:v>IOZ</c:v>
                </c:pt>
                <c:pt idx="2">
                  <c:v>CBA</c:v>
                </c:pt>
                <c:pt idx="3">
                  <c:v>TLS</c:v>
                </c:pt>
                <c:pt idx="4">
                  <c:v>AAPL</c:v>
                </c:pt>
                <c:pt idx="5">
                  <c:v>AMZN</c:v>
                </c:pt>
                <c:pt idx="6">
                  <c:v>BABA</c:v>
                </c:pt>
                <c:pt idx="7">
                  <c:v>BHP</c:v>
                </c:pt>
                <c:pt idx="8">
                  <c:v>GOOGL</c:v>
                </c:pt>
                <c:pt idx="9">
                  <c:v>MSFT</c:v>
                </c:pt>
                <c:pt idx="10">
                  <c:v>RIO</c:v>
                </c:pt>
                <c:pt idx="11">
                  <c:v>SQ</c:v>
                </c:pt>
              </c:strCache>
            </c:strRef>
          </c:cat>
          <c:val>
            <c:numRef>
              <c:f>'Joint Portfolio'!$Z$2:$Z$14</c:f>
              <c:numCache>
                <c:formatCode>0.00%</c:formatCode>
                <c:ptCount val="13"/>
                <c:pt idx="0">
                  <c:v>-0.37653057684969998</c:v>
                </c:pt>
                <c:pt idx="1">
                  <c:v>0.19726131708854114</c:v>
                </c:pt>
                <c:pt idx="2">
                  <c:v>0.22619439868204294</c:v>
                </c:pt>
                <c:pt idx="3">
                  <c:v>0.10389610389610375</c:v>
                </c:pt>
                <c:pt idx="4">
                  <c:v>0.38713204696053821</c:v>
                </c:pt>
                <c:pt idx="5">
                  <c:v>0.75004495412084038</c:v>
                </c:pt>
                <c:pt idx="6">
                  <c:v>0.20967694736842107</c:v>
                </c:pt>
                <c:pt idx="7">
                  <c:v>5.5577690585127779E-2</c:v>
                </c:pt>
                <c:pt idx="8">
                  <c:v>0.18826001801980166</c:v>
                </c:pt>
                <c:pt idx="9">
                  <c:v>0.3404567465777702</c:v>
                </c:pt>
                <c:pt idx="10">
                  <c:v>0.14710273515685532</c:v>
                </c:pt>
                <c:pt idx="11">
                  <c:v>0.84933591951635878</c:v>
                </c:pt>
                <c:pt idx="12">
                  <c:v>0</c:v>
                </c:pt>
              </c:numCache>
            </c:numRef>
          </c:val>
          <c:extLst>
            <c:ext xmlns:c16="http://schemas.microsoft.com/office/drawing/2014/chart" uri="{C3380CC4-5D6E-409C-BE32-E72D297353CC}">
              <c16:uniqueId val="{0000001A-B2AF-47DF-B4C6-AE89A01D32DF}"/>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v>Portfolio Value</c:v>
          </c:tx>
          <c:spPr>
            <a:ln w="34925" cap="rnd">
              <a:solidFill>
                <a:schemeClr val="lt1"/>
              </a:solidFill>
              <a:round/>
            </a:ln>
            <a:effectLst>
              <a:outerShdw dist="25400" dir="2700000" algn="tl" rotWithShape="0">
                <a:schemeClr val="accent1"/>
              </a:outerShdw>
            </a:effectLst>
          </c:spPr>
          <c:marker>
            <c:symbol val="none"/>
          </c:marker>
          <c:cat>
            <c:numRef>
              <c:f>'Portfolio Value Tracker'!$B$1:$AS$1</c:f>
              <c:numCache>
                <c:formatCode>m/d/yyyy</c:formatCode>
                <c:ptCount val="44"/>
                <c:pt idx="0">
                  <c:v>43930</c:v>
                </c:pt>
                <c:pt idx="1">
                  <c:v>43931</c:v>
                </c:pt>
                <c:pt idx="2">
                  <c:v>43935</c:v>
                </c:pt>
                <c:pt idx="3">
                  <c:v>43936</c:v>
                </c:pt>
                <c:pt idx="4">
                  <c:v>43937</c:v>
                </c:pt>
                <c:pt idx="5">
                  <c:v>43939</c:v>
                </c:pt>
                <c:pt idx="6">
                  <c:v>43942</c:v>
                </c:pt>
                <c:pt idx="7">
                  <c:v>43943</c:v>
                </c:pt>
                <c:pt idx="8">
                  <c:v>43944</c:v>
                </c:pt>
                <c:pt idx="9">
                  <c:v>43945</c:v>
                </c:pt>
                <c:pt idx="10">
                  <c:v>43949</c:v>
                </c:pt>
                <c:pt idx="11">
                  <c:v>43952</c:v>
                </c:pt>
                <c:pt idx="12">
                  <c:v>43953</c:v>
                </c:pt>
                <c:pt idx="13">
                  <c:v>43954</c:v>
                </c:pt>
                <c:pt idx="14">
                  <c:v>43955</c:v>
                </c:pt>
                <c:pt idx="15">
                  <c:v>43956</c:v>
                </c:pt>
                <c:pt idx="16">
                  <c:v>43959</c:v>
                </c:pt>
                <c:pt idx="17">
                  <c:v>43960</c:v>
                </c:pt>
                <c:pt idx="18">
                  <c:v>43961</c:v>
                </c:pt>
                <c:pt idx="19">
                  <c:v>43968</c:v>
                </c:pt>
                <c:pt idx="20">
                  <c:v>43969</c:v>
                </c:pt>
                <c:pt idx="21">
                  <c:v>43970</c:v>
                </c:pt>
                <c:pt idx="22">
                  <c:v>43971</c:v>
                </c:pt>
                <c:pt idx="23">
                  <c:v>43972</c:v>
                </c:pt>
                <c:pt idx="24">
                  <c:v>43977</c:v>
                </c:pt>
                <c:pt idx="25">
                  <c:v>43978</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numCache>
            </c:numRef>
          </c:cat>
          <c:val>
            <c:numRef>
              <c:f>'Portfolio Value Tracker'!$B$6:$AW$6</c:f>
              <c:numCache>
                <c:formatCode>General</c:formatCode>
                <c:ptCount val="48"/>
                <c:pt idx="0">
                  <c:v>3154.1835703100005</c:v>
                </c:pt>
                <c:pt idx="1">
                  <c:v>3129.9313202400003</c:v>
                </c:pt>
                <c:pt idx="2">
                  <c:v>3176.1785901600006</c:v>
                </c:pt>
                <c:pt idx="3">
                  <c:v>3234.4396202800003</c:v>
                </c:pt>
                <c:pt idx="4">
                  <c:v>3209.6329022399996</c:v>
                </c:pt>
                <c:pt idx="5">
                  <c:v>3241.6505935648001</c:v>
                </c:pt>
                <c:pt idx="6">
                  <c:v>4169.8816905860594</c:v>
                </c:pt>
                <c:pt idx="7">
                  <c:v>4117.1480700556485</c:v>
                </c:pt>
                <c:pt idx="8">
                  <c:v>4145.8926116126477</c:v>
                </c:pt>
                <c:pt idx="9">
                  <c:v>4155.8065085722037</c:v>
                </c:pt>
                <c:pt idx="10">
                  <c:v>4145.5099547267037</c:v>
                </c:pt>
                <c:pt idx="11">
                  <c:v>4182.1304548265998</c:v>
                </c:pt>
                <c:pt idx="12">
                  <c:v>4139.7713200254721</c:v>
                </c:pt>
                <c:pt idx="13">
                  <c:v>4194.7965616254714</c:v>
                </c:pt>
                <c:pt idx="14">
                  <c:v>4250.8005522139601</c:v>
                </c:pt>
                <c:pt idx="15">
                  <c:v>4258.0425735217159</c:v>
                </c:pt>
                <c:pt idx="16">
                  <c:v>4215.4715480921404</c:v>
                </c:pt>
                <c:pt idx="17">
                  <c:v>4220.3775907758318</c:v>
                </c:pt>
                <c:pt idx="18">
                  <c:v>4289.2971937087759</c:v>
                </c:pt>
                <c:pt idx="19">
                  <c:v>4318.9092631501399</c:v>
                </c:pt>
                <c:pt idx="20">
                  <c:v>4287.2153063350743</c:v>
                </c:pt>
                <c:pt idx="21">
                  <c:v>4313.5932534202957</c:v>
                </c:pt>
                <c:pt idx="22">
                  <c:v>4322.0383854014426</c:v>
                </c:pt>
                <c:pt idx="23">
                  <c:v>4290.448138081083</c:v>
                </c:pt>
                <c:pt idx="24">
                  <c:v>4410.1330194663769</c:v>
                </c:pt>
                <c:pt idx="25">
                  <c:v>4509.467170554577</c:v>
                </c:pt>
                <c:pt idx="26">
                  <c:v>4445.2713340141509</c:v>
                </c:pt>
                <c:pt idx="27">
                  <c:v>4504.258496385919</c:v>
                </c:pt>
                <c:pt idx="28">
                  <c:v>4536.3750156854312</c:v>
                </c:pt>
                <c:pt idx="29">
                  <c:v>4504.5072623497208</c:v>
                </c:pt>
                <c:pt idx="30">
                  <c:v>4475.5021751055401</c:v>
                </c:pt>
                <c:pt idx="31">
                  <c:v>4928.2780337086097</c:v>
                </c:pt>
              </c:numCache>
            </c:numRef>
          </c:val>
          <c:smooth val="0"/>
          <c:extLst>
            <c:ext xmlns:c16="http://schemas.microsoft.com/office/drawing/2014/chart" uri="{C3380CC4-5D6E-409C-BE32-E72D297353CC}">
              <c16:uniqueId val="{00000000-DEA7-42FB-AB73-3CAF30C93A6E}"/>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1922109904"/>
        <c:axId val="1928576240"/>
      </c:lineChart>
      <c:dateAx>
        <c:axId val="1922109904"/>
        <c:scaling>
          <c:orientation val="minMax"/>
        </c:scaling>
        <c:delete val="0"/>
        <c:axPos val="b"/>
        <c:numFmt formatCode="m/d/yyyy"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928576240"/>
        <c:crosses val="autoZero"/>
        <c:auto val="1"/>
        <c:lblOffset val="100"/>
        <c:baseTimeUnit val="days"/>
      </c:dateAx>
      <c:valAx>
        <c:axId val="1928576240"/>
        <c:scaling>
          <c:orientation val="minMax"/>
          <c:min val="30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2210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457200</xdr:colOff>
          <xdr:row>0</xdr:row>
          <xdr:rowOff>121920</xdr:rowOff>
        </xdr:from>
        <xdr:to>
          <xdr:col>8</xdr:col>
          <xdr:colOff>464820</xdr:colOff>
          <xdr:row>3</xdr:row>
          <xdr:rowOff>175260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4</xdr:row>
          <xdr:rowOff>114300</xdr:rowOff>
        </xdr:from>
        <xdr:to>
          <xdr:col>8</xdr:col>
          <xdr:colOff>464820</xdr:colOff>
          <xdr:row>8</xdr:row>
          <xdr:rowOff>0</xdr:rowOff>
        </xdr:to>
        <xdr:sp macro="" textlink="">
          <xdr:nvSpPr>
            <xdr:cNvPr id="16386" name="CommandButton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8</xdr:row>
          <xdr:rowOff>99060</xdr:rowOff>
        </xdr:from>
        <xdr:to>
          <xdr:col>8</xdr:col>
          <xdr:colOff>464820</xdr:colOff>
          <xdr:row>11</xdr:row>
          <xdr:rowOff>137160</xdr:rowOff>
        </xdr:to>
        <xdr:sp macro="" textlink="">
          <xdr:nvSpPr>
            <xdr:cNvPr id="16387" name="CommandButton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518160</xdr:colOff>
          <xdr:row>12</xdr:row>
          <xdr:rowOff>106680</xdr:rowOff>
        </xdr:from>
        <xdr:to>
          <xdr:col>8</xdr:col>
          <xdr:colOff>480060</xdr:colOff>
          <xdr:row>15</xdr:row>
          <xdr:rowOff>106680</xdr:rowOff>
        </xdr:to>
        <xdr:sp macro="" textlink="">
          <xdr:nvSpPr>
            <xdr:cNvPr id="16389" name="CommandButton4"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640080</xdr:colOff>
          <xdr:row>12</xdr:row>
          <xdr:rowOff>68580</xdr:rowOff>
        </xdr:from>
        <xdr:to>
          <xdr:col>5</xdr:col>
          <xdr:colOff>304800</xdr:colOff>
          <xdr:row>15</xdr:row>
          <xdr:rowOff>175260</xdr:rowOff>
        </xdr:to>
        <xdr:sp macro="" textlink="">
          <xdr:nvSpPr>
            <xdr:cNvPr id="16393" name="CommandButton5"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22860</xdr:colOff>
      <xdr:row>0</xdr:row>
      <xdr:rowOff>99060</xdr:rowOff>
    </xdr:from>
    <xdr:to>
      <xdr:col>17</xdr:col>
      <xdr:colOff>472440</xdr:colOff>
      <xdr:row>21</xdr:row>
      <xdr:rowOff>45720</xdr:rowOff>
    </xdr:to>
    <xdr:graphicFrame macro="">
      <xdr:nvGraphicFramePr>
        <xdr:cNvPr id="9" name="Chart 1">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91440</xdr:colOff>
      <xdr:row>13</xdr:row>
      <xdr:rowOff>7620</xdr:rowOff>
    </xdr:from>
    <xdr:to>
      <xdr:col>4</xdr:col>
      <xdr:colOff>175260</xdr:colOff>
      <xdr:row>28</xdr:row>
      <xdr:rowOff>7620</xdr:rowOff>
    </xdr:to>
    <xdr:graphicFrame macro="">
      <xdr:nvGraphicFramePr>
        <xdr:cNvPr id="10" name="Chart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73">
  <rv s="0">
    <v>http://en.wikipedia.org/wiki/Public_domain</v>
    <v>Public domain</v>
  </rv>
  <rv s="0">
    <v>http://fr.wikipedia.org/wiki/Westpac</v>
    <v>Wikipedia</v>
  </rv>
  <rv s="1">
    <v>0</v>
    <v>1</v>
  </rv>
  <rv s="2">
    <v>6</v>
    <v>7</v>
    <v>https://www.bing.com/th?id=AMMS_348d488d409540f22671e95b3e3646f9&amp;qlt=95</v>
    <v>2</v>
    <v>https://www.bing.com/images/search?form=xlimg&amp;q=westpac</v>
    <v>Image of WESTPAC BANKING CORPORATION</v>
    <v/>
  </rv>
  <rv s="0">
    <v>https://www.bing.com/financeapi/forcetrigger?t=aaabr7&amp;q=XASX%3aWBC&amp;form=skydnc</v>
    <v>Learn more on Bing</v>
  </rv>
  <rv s="3">
    <v>en-US</v>
    <v>aaabr7</v>
    <v>268435456</v>
    <v>268435457</v>
    <v>1</v>
    <v>Powered by Refinitiv</v>
    <v>0</v>
    <v>WESTPAC BANKING CORPORATION (XASX:WBC)</v>
    <v>3</v>
    <v>4</v>
    <v>Finance</v>
    <v>5</v>
    <v>30.05</v>
    <v>13.47</v>
    <v>1.0872999999999999</v>
    <v>0.44</v>
    <v>2.4887000000000003E-2</v>
    <v>AUD</v>
    <v>Westpac Banking Corporation is a banking organization. The Company provides a range of banking and financial services in these markets, including consumer, business and institutional banking and wealth management services. The Company’s operations consist of various divisions including Consumer, Business, Westpac Institutional Bank (WIB) and Westpac New Zealand. Consumer division is responsible for sales and service to consumer customers in Australia. Business division provides business banking and wealth facilities and products for customers across Australia. WIB delivers a broad range of financial products and services to commercial, corporate, institutional and government customers operating in, or with connections to Australia and New Zealand. Westpac New Zealand is responsible for sales and service of banking, wealth and insurance products for consumer, business and institutional customers in New Zealand.</v>
    <v>30913</v>
    <v>Australian Securities Exchange</v>
    <v>XASX</v>
    <v>XASX</v>
    <v>L 18 275 Kent St, SYDNEY, NEW SOUTH WALES, 2000 AU</v>
    <v>18.12</v>
    <v>3</v>
    <v>Banking Services</v>
    <v>Stock</v>
    <v>44033.279166666667</v>
    <v>4</v>
    <v>17.55</v>
    <v>64613040000</v>
    <v>WESTPAC BANKING CORPORATION</v>
    <v>WESTPAC BANKING CORPORATION</v>
    <v>17.68</v>
    <v>12.87</v>
    <v>17.68</v>
    <v>18.12</v>
    <v>3611685000</v>
    <v>WBC</v>
    <v>WESTPAC BANKING CORPORATION (XASX:WBC)</v>
    <v>8270798</v>
    <v>2002</v>
  </rv>
  <rv s="4">
    <v>5</v>
  </rv>
  <rv s="0">
    <v>https://www.bing.com/financeapi/forcetrigger?t=aa72mw&amp;q=XASX%3aIOZ&amp;form=skydnc</v>
    <v>Learn more on Bing</v>
  </rv>
  <rv s="5">
    <v>en-US</v>
    <v>aa72mw</v>
    <v>268435456</v>
    <v>268435459</v>
    <v>1</v>
    <v>Powered by Refinitiv</v>
    <v>8</v>
    <v>iShares Core S&amp;P/ASX 200 ETF (XASX:IOZ)</v>
    <v>9</v>
    <v>10</v>
    <v>Finance</v>
    <v>5</v>
    <v>29.41</v>
    <v>18.25</v>
    <v>0.97929999999999995</v>
    <v>0.63</v>
    <v>2.5703999999999998E-2</v>
    <v>AUD</v>
    <v>Australian Securities Exchange</v>
    <v>XASX</v>
    <v>1.5E-3</v>
    <v>25.16</v>
    <v>ETF</v>
    <v>44033.279166666667</v>
    <v>7</v>
    <v>24.66</v>
    <v>2199694651</v>
    <v>iShares Core S&amp;P/ASX 200 ETF</v>
    <v>24.66</v>
    <v>24.51</v>
    <v>25.14</v>
    <v>IOZ</v>
    <v>iShares Core S&amp;P/ASX 200 ETF (XASX:IOZ)</v>
    <v>185062</v>
  </rv>
  <rv s="4">
    <v>8</v>
  </rv>
  <rv s="0">
    <v>https://creativecommons.org/licenses/by-sa/3.0</v>
    <v>CC BY-SA 3.0</v>
  </rv>
  <rv s="0">
    <v>http://es.wikipedia.org/wiki/Commonwealth_Bank</v>
    <v>Wikipedia</v>
  </rv>
  <rv s="1">
    <v>10</v>
    <v>11</v>
  </rv>
  <rv s="2">
    <v>6</v>
    <v>7</v>
    <v>https://www.bing.com/th?id=AMMS_089ff6a47bfca2b56ef8471130a40973&amp;qlt=95</v>
    <v>12</v>
    <v>https://www.bing.com/images/search?form=xlimg&amp;q=commonwealth+bank</v>
    <v>Image of COMMONWEALTH BANK OF AUSTRALIA</v>
    <v/>
  </rv>
  <rv s="0">
    <v>https://www.bing.com/financeapi/forcetrigger?t=aa5cec&amp;q=XASX%3aCBA&amp;form=skydnc</v>
    <v>Learn more on Bing</v>
  </rv>
  <rv s="3">
    <v>en-US</v>
    <v>aa5cec</v>
    <v>268435456</v>
    <v>268435457</v>
    <v>1</v>
    <v>Powered by Refinitiv</v>
    <v>0</v>
    <v>COMMONWEALTH BANK OF AUSTRALIA (XASX:CBA)</v>
    <v>3</v>
    <v>4</v>
    <v>Finance</v>
    <v>5</v>
    <v>91.05</v>
    <v>53.44</v>
    <v>1.0127999999999999</v>
    <v>2.44</v>
    <v>3.3894000000000001E-2</v>
    <v>AUD</v>
    <v>Commonwealth Bank of Australia is a provider of financial services, including retail, business and institutional banking, funds management, superannuation, general insurance, broking services and finance company activities. The Company's segments include Retail Banking Services, which provides home loan, consumer finance and retail deposit products; Business and Private Banking, which provides banking services to relationship managed business and agribusiness customers; Institutional Banking and Markets, which services its corporate, institutional and government clients; Wealth Management segment, which includes platform administration, and general insurance businesses; New Zealand, which includes the banking and funds management businesses operating in New Zealand; Bankwest, which offers a range of deposit products, and IFS and Other Divisions, which includes the Asian retail and business banking operations.</v>
    <v>42137</v>
    <v>Australian Securities Exchange</v>
    <v>XASX</v>
    <v>XASX</v>
    <v>Ground Floor, Tower 1, 201 Sussex Street, SYDNEY, NEW SOUTH WALES, 2000 AU</v>
    <v>74.430000000000007</v>
    <v>13</v>
    <v>Banking Services</v>
    <v>Stock</v>
    <v>44033.280057870368</v>
    <v>14</v>
    <v>72.34</v>
    <v>128519400000</v>
    <v>COMMONWEALTH BANK OF AUSTRALIA</v>
    <v>COMMONWEALTH BANK OF AUSTRALIA</v>
    <v>72.78</v>
    <v>12.56</v>
    <v>71.989999999999995</v>
    <v>74.430000000000007</v>
    <v>1770240000</v>
    <v>CBA</v>
    <v>COMMONWEALTH BANK OF AUSTRALIA (XASX:CBA)</v>
    <v>3172653</v>
    <v>1991</v>
  </rv>
  <rv s="4">
    <v>15</v>
  </rv>
  <rv s="0">
    <v>http://en.wikipedia.org/wiki/Telstra</v>
    <v>Wikipedia</v>
  </rv>
  <rv s="1">
    <v>0</v>
    <v>17</v>
  </rv>
  <rv s="2">
    <v>6</v>
    <v>7</v>
    <v>https://www.bing.com/th?id=AMMS_2611063f07c52323330d9b83b30505af&amp;qlt=95</v>
    <v>18</v>
    <v>https://www.bing.com/images/search?form=xlimg&amp;q=telstra</v>
    <v>Image of TELSTRA CORPORATION LIMITED</v>
    <v/>
  </rv>
  <rv s="0">
    <v>https://www.bing.com/financeapi/forcetrigger?t=aa9vc7&amp;q=XASX%3aTLS&amp;form=skydnc</v>
    <v>Learn more on Bing</v>
  </rv>
  <rv s="3">
    <v>en-US</v>
    <v>aa9vc7</v>
    <v>268435456</v>
    <v>268435457</v>
    <v>1</v>
    <v>Powered by Refinitiv</v>
    <v>0</v>
    <v>TELSTRA CORPORATION LIMITED (XASX:TLS)</v>
    <v>3</v>
    <v>4</v>
    <v>Finance</v>
    <v>5</v>
    <v>3.9449999999999998</v>
    <v>2.87</v>
    <v>0.66510000000000002</v>
    <v>0</v>
    <v>0</v>
    <v>AUD</v>
    <v>Telstra Corporation Limited (Telstra) is a telecommunications and technology company. Its principal activity is to provide telecommunications and information services for domestic and international customers. It operates through four segments: Telstra Consumer and Small Business, Telstra Enterprise, Networks and IT(N&amp;IT) and Telstra InfraCo. Telstra Consumer and Small Business is a provider of telecommunication products, services and solutions across mobiles, fixed and mobile broadband, telephony and Pay Television and digital content to the consumer and small business customers in Australia. Telstra Enterprise is engaged in the sales and contract management for medium to large business and government customers in Australia and globally. N&amp;IT is engaged in the overall planning, design, engineering architecture and construction of Telstra networks, technology and information technology solutions. Telstra InfraCo is the provider of a wide range of telecommunication products and services.</v>
    <v>29769</v>
    <v>Australian Securities Exchange</v>
    <v>XASX</v>
    <v>XASX</v>
    <v>L 41 242 Exhibition St, MELBOURNE, VICTORIA, 3000 AU</v>
    <v>3.44</v>
    <v>19</v>
    <v>Telecommunications Services</v>
    <v>Stock</v>
    <v>44033.280115740738</v>
    <v>20</v>
    <v>3.35</v>
    <v>41150810000</v>
    <v>TELSTRA CORPORATION LIMITED</v>
    <v>TELSTRA CORPORATION LIMITED</v>
    <v>3.43</v>
    <v>19.649999999999999</v>
    <v>3.4</v>
    <v>3.4</v>
    <v>11893300000</v>
    <v>TLS</v>
    <v>TELSTRA CORPORATION LIMITED (XASX:TLS)</v>
    <v>26668384</v>
    <v>1991</v>
  </rv>
  <rv s="4">
    <v>21</v>
  </rv>
  <rv s="6">
    <v>12</v>
    <v>Beta</v>
  </rv>
  <rv s="6">
    <v>12</v>
    <v>Industry</v>
  </rv>
  <rv s="0">
    <v>http://ja.wikipedia.org/wiki/アップル_(企業)</v>
    <v>Wikipedia</v>
  </rv>
  <rv s="1">
    <v>0</v>
    <v>25</v>
  </rv>
  <rv s="2">
    <v>6</v>
    <v>7</v>
    <v>https://www.bing.com/th?id=AMMS_4b742b6461de24cfdaeba0c724c4b15e&amp;qlt=95</v>
    <v>26</v>
    <v>https://www.bing.com/images/search?form=xlimg&amp;q=apple+inc</v>
    <v>Image of APPLE INC.</v>
    <v/>
  </rv>
  <rv s="0">
    <v>https://www.bing.com/financeapi/forcetrigger?t=a1mou2&amp;q=XNAS%3aAAPL&amp;form=skydnc</v>
    <v>Learn more on Bing</v>
  </rv>
  <rv s="7">
    <v>en-US</v>
    <v>a1mou2</v>
    <v>268435456</v>
    <v>268435457</v>
    <v>1</v>
    <v>Powered by Refinitiv</v>
    <v>11</v>
    <v>APPLE INC. (XNAS:AAPL)</v>
    <v>3</v>
    <v>12</v>
    <v>Finance</v>
    <v>13</v>
    <v>399.82</v>
    <v>192.58</v>
    <v>1.1883999999999999</v>
    <v>8.1199999999999992</v>
    <v>2.1074000000000002E-2</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137000</v>
    <v>Nasdaq Stock Market</v>
    <v>XNAS</v>
    <v>XNAS</v>
    <v>1 Apple Park Way, CUPERTINO, CA, 95014-0642 US</v>
    <v>394</v>
    <v>27</v>
    <v>Computers, Phones &amp; Household Electronics</v>
    <v>Stock</v>
    <v>44032.999984443748</v>
    <v>28</v>
    <v>384.25</v>
    <v>1670063000000</v>
    <v>APPLE INC.</v>
    <v>APPLE INC.</v>
    <v>385.66500000000002</v>
    <v>30.842700000000001</v>
    <v>385.31</v>
    <v>393.43</v>
    <v>4334335000</v>
    <v>AAPL</v>
    <v>APPLE INC. (XNAS:AAPL)</v>
    <v>8859</v>
    <v>36414109</v>
    <v>1977</v>
  </rv>
  <rv s="4">
    <v>29</v>
  </rv>
  <rv s="0">
    <v>http://en.wikipedia.org/wiki/Amazon_(company)</v>
    <v>Wikipedia</v>
  </rv>
  <rv s="1">
    <v>0</v>
    <v>31</v>
  </rv>
  <rv s="2">
    <v>6</v>
    <v>7</v>
    <v>https://www.bing.com/th?id=AMMS_234d7638413b734c1560bf8e7f642960&amp;qlt=95</v>
    <v>32</v>
    <v>https://www.bing.com/images/search?form=xlimg&amp;q=amazon+com</v>
    <v>Image of AMAZON.COM, INC.</v>
    <v/>
  </rv>
  <rv s="0">
    <v>https://www.bing.com/financeapi/forcetrigger?t=a1nhlh&amp;q=XNAS%3aAMZN&amp;form=skydnc</v>
    <v>Learn more on Bing</v>
  </rv>
  <rv s="7">
    <v>en-US</v>
    <v>a1nhlh</v>
    <v>268435456</v>
    <v>268435457</v>
    <v>1</v>
    <v>Powered by Refinitiv</v>
    <v>11</v>
    <v>AMAZON.COM, INC. (XNAS:AMZN)</v>
    <v>3</v>
    <v>12</v>
    <v>Finance</v>
    <v>13</v>
    <v>3344.29</v>
    <v>1626.0318</v>
    <v>1.3021</v>
    <v>234.87</v>
    <v>7.9295000000000004E-2</v>
    <v>USD</v>
    <v>Amazon.com, Inc. offers a range of products and services through its Websites. The Company's products include merchandise and content that it purchases for resale from vendors and those offered by third-party sellers. It also manufactures and sells electronic devices. It operates through three segments: North America, International and Amazon Web Services (AWS). Its AWS products include analytics, Amazon Athena, Amazon CloudSearch, Amazon EMR, Amazon Elasticsearch Service, Amazon Kinesis, Amazon Managed Streaming for Apache Kafka, Amazon Redshift, Amazon QuickSight, AWS Data Pipeline, AWS Glue and AWS Lake Formation. AWS solutions include machine learning, analytics and data lakes, Internet of Things, serverless computing, containers, enterprise applications, and storage. In addition, the Company provides services, such as advertising. It also offers Amazon Prime, a membership program that includes free shipping, access to streaming of various movies and television (TV) episodes.</v>
    <v>840400</v>
    <v>Nasdaq Stock Market</v>
    <v>XNAS</v>
    <v>XNAS</v>
    <v>410 Terry Ave N, SEATTLE, WA, 98109-5210 US</v>
    <v>3201.3598999999999</v>
    <v>33</v>
    <v>Diversified Retail</v>
    <v>Stock</v>
    <v>44032.999980890621</v>
    <v>34</v>
    <v>2994.0171999999998</v>
    <v>1477360000000</v>
    <v>AMAZON.COM, INC.</v>
    <v>AMAZON.COM, INC.</v>
    <v>3000.2</v>
    <v>152.7105</v>
    <v>2961.97</v>
    <v>3196.84</v>
    <v>498776000</v>
    <v>AMZN</v>
    <v>AMAZON.COM, INC. (XNAS:AMZN)</v>
    <v>1229</v>
    <v>5098514</v>
    <v>1996</v>
  </rv>
  <rv s="4">
    <v>35</v>
  </rv>
  <rv s="0">
    <v>http://pl.wikipedia.org/wiki/Alibaba_Group</v>
    <v>Wikipedia</v>
  </rv>
  <rv s="1">
    <v>10</v>
    <v>37</v>
  </rv>
  <rv s="2">
    <v>6</v>
    <v>7</v>
    <v>https://www.bing.com/th?id=AMMS_d4f7a1607c28c2adbf05d2cfaaa1af35&amp;qlt=95</v>
    <v>38</v>
    <v>https://www.bing.com/images/search?form=xlimg&amp;q=alibaba+group</v>
    <v>Image of Alibaba Group Holding Limited</v>
    <v/>
  </rv>
  <rv s="0">
    <v>https://www.bing.com/financeapi/forcetrigger?t=a1o4mw&amp;q=XNYS%3aBABA&amp;form=skydnc</v>
    <v>Learn more on Bing</v>
  </rv>
  <rv s="7">
    <v>en-US</v>
    <v>a1o4mw</v>
    <v>268435456</v>
    <v>268435457</v>
    <v>1</v>
    <v>Powered by Refinitiv</v>
    <v>11</v>
    <v>Alibaba Group Holding Limited (XNYS:BABA)</v>
    <v>3</v>
    <v>14</v>
    <v>Finance</v>
    <v>13</v>
    <v>268</v>
    <v>151.85</v>
    <v>1.5891999999999999</v>
    <v>7.67</v>
    <v>3.1035E-2</v>
    <v>USD</v>
    <v>ALIBABA GROUP HOLDING LIMITED is a holding company that provides the technology infrastructure and marketing reach to help merchants, brands and other businesses to leverage the power of new technology to engage with users and customers to operate. The Company operates four business segments. The Core Commerce segment provides China retail, China wholesale, International retail, International wholesale, Cainiao logistics services and local consumer services through Taobao Marketplace and Tmall. The Cloud Computing segment provides complete suite of cloud services, including database, storage, network virtualization services, big data analytics and others. The Digital Media and Entertainment segment provides consumer services beyond the core business operations. The Innovation Initiatives and Others segment is to innovate and deliver new services and products.</v>
    <v>117600</v>
    <v>New York Stock Exchange</v>
    <v>XNYS</v>
    <v>XNYS</v>
    <v>No.699 Wang Shang Road, Binjiang District, HANGZHOU, ZHEJIANG, 310052 CN</v>
    <v>257.67</v>
    <v>39</v>
    <v>Software &amp; IT Services</v>
    <v>Stock</v>
    <v>44032.999794120311</v>
    <v>40</v>
    <v>252.43</v>
    <v>668430400000</v>
    <v>Alibaba Group Holding Limited</v>
    <v>Alibaba Group Holding Limited</v>
    <v>256.45</v>
    <v>32.047199999999997</v>
    <v>247.14</v>
    <v>254.81</v>
    <v>2704663000</v>
    <v>BABA</v>
    <v>Alibaba Group Holding Limited (XNYS:BABA)</v>
    <v>52399</v>
    <v>18438026</v>
    <v>1999</v>
  </rv>
  <rv s="4">
    <v>41</v>
  </rv>
  <rv s="0">
    <v>http://en.wikipedia.org/wiki/BHP</v>
    <v>Wikipedia</v>
  </rv>
  <rv s="1">
    <v>0</v>
    <v>43</v>
  </rv>
  <rv s="2">
    <v>6</v>
    <v>7</v>
    <v>https://www.bing.com/th?id=AMMS_e083acd5ce7fcc0aec98f46b754c1f1d&amp;qlt=95</v>
    <v>44</v>
    <v>https://www.bing.com/images/search?form=xlimg&amp;q=bhp+billiton</v>
    <v>Image of BHP GROUP LIMITED</v>
    <v/>
  </rv>
  <rv s="0">
    <v>https://www.bing.com/financeapi/forcetrigger?t=a1oh27&amp;q=XNYS%3aBHP&amp;form=skydnc</v>
    <v>Learn more on Bing</v>
  </rv>
  <rv s="7">
    <v>en-US</v>
    <v>a1oh27</v>
    <v>268435456</v>
    <v>268435457</v>
    <v>1</v>
    <v>Powered by Refinitiv</v>
    <v>11</v>
    <v>BHP GROUP LIMITED (XNYS:BHP)</v>
    <v>3</v>
    <v>12</v>
    <v>Finance</v>
    <v>15</v>
    <v>58.88</v>
    <v>29.78</v>
    <v>1.0236000000000001</v>
    <v>-0.25</v>
    <v>-4.6429999999999996E-3</v>
    <v>USD</v>
    <v>BHP Group Ltd, formerly BHP Billiton Ltd, is a global resources company. The Company is a producer of various commodities, including iron ore, metallurgical coal, copper and uranium. Its segments include Petroleum, Copper, Iron Ore and Coal. The Petroleum segment is engaged in the exploration, development and production of oil and gas. The Copper segment is engaged in mining of copper, silver, lead, zinc, molybdenum, uranium and gold. The Iron Ore segment is engaged in mining of iron ore. The Coal segment is engaged in mining of metallurgical coal and thermal (energy) coal. Its businesses include Minerals Australia, Minerals Americas, Petroleum and Marketing. The Company extracts and processes minerals, oil and gas from its production operations located primarily in Australia and the Americas. The Company manages product distribution through its global logistics chain, including freight and pipeline transportation.</v>
    <v>28926</v>
    <v>New York Stock Exchange</v>
    <v>XNYS</v>
    <v>XNYS</v>
    <v>Shop 16 171 Collins St, MELBOURNE, VICTORIA, 3000 AU</v>
    <v>54.164999999999999</v>
    <v>45</v>
    <v>Metals &amp; Mining</v>
    <v>Stock</v>
    <v>44032.974354224221</v>
    <v>46</v>
    <v>53.55</v>
    <v>125540000000</v>
    <v>BHP GROUP LIMITED</v>
    <v>BHP GROUP LIMITED</v>
    <v>53.64</v>
    <v>14.369899999999999</v>
    <v>53.84</v>
    <v>53.59</v>
    <v>2528962000</v>
    <v>BHP</v>
    <v>BHP GROUP LIMITED (XNYS:BHP)</v>
    <v>2000</v>
    <v>1971312</v>
    <v>1885</v>
  </rv>
  <rv s="4">
    <v>47</v>
  </rv>
  <rv s="0">
    <v>http://en.wikipedia.org/wiki/Alphabet_Inc.</v>
    <v>Wikipedia</v>
  </rv>
  <rv s="1">
    <v>0</v>
    <v>49</v>
  </rv>
  <rv s="2">
    <v>6</v>
    <v>7</v>
    <v>https://www.bing.com/th?id=AMMS_91f59ff6c9305ce24b1cf0389cd856f8&amp;qlt=95</v>
    <v>50</v>
    <v>https://www.bing.com/images/search?form=xlimg&amp;q=alphabet+inc.</v>
    <v>Image of ALPHABET INC.</v>
    <v/>
  </rv>
  <rv s="0">
    <v>https://www.bing.com/financeapi/forcetrigger?t=a1u3rw&amp;q=XNAS%3aGOOGL&amp;form=skydnc</v>
    <v>Learn more on Bing</v>
  </rv>
  <rv s="7">
    <v>en-US</v>
    <v>a1u3rw</v>
    <v>268435456</v>
    <v>268435457</v>
    <v>1</v>
    <v>Powered by Refinitiv</v>
    <v>11</v>
    <v>ALPHABET INC. (XNAS:GOOGL)</v>
    <v>3</v>
    <v>12</v>
    <v>Finance</v>
    <v>13</v>
    <v>1576.36</v>
    <v>1008.87</v>
    <v>1.0494000000000001</v>
    <v>46.99</v>
    <v>3.0979E-2</v>
    <v>USD</v>
    <v>Alphabet Inc. is a holding company. The Company's businesses include Google Inc. (Google) and its Internet products, such as Access, Calico, CapitalG, GV, Nest, Verily, Waymo and X. The Company's segments include Google and Other Bets. The Google segment includes its Internet products, such as Search, Ads, Commerce, Maps, YouTube, Google Cloud, Android, Chrome and Google Play, as well as its hardware initiatives. The Google segment is engaged in advertising, sales of digital content, applications and cloud offerings, and sales of hardware products. The Other Bets segment is engaged in the sales of Internet and television services through Google Fiber, sales of Nest products and services, and licensing and research and development (R&amp;D) services through Verily. It offers Google Assistant, which allows users to type or talk with Google; Google Maps, which helps users navigate to a store, and Google Photos, which helps users store and organize all of their photos.</v>
    <v>123048</v>
    <v>Nasdaq Stock Market</v>
    <v>XNAS</v>
    <v>XNAS</v>
    <v>1600 Amphitheatre Pkwy, MOUNTAIN VIEW, CA, 94043-1351 US</v>
    <v>1569.01</v>
    <v>51</v>
    <v>Software &amp; IT Services</v>
    <v>Stock</v>
    <v>44032.999997615625</v>
    <v>52</v>
    <v>1502.6960999999999</v>
    <v>1034995000000</v>
    <v>ALPHABET INC.</v>
    <v>ALPHABET INC.</v>
    <v>1515</v>
    <v>31.571000000000002</v>
    <v>1516.85</v>
    <v>1563.84</v>
    <v>682620200</v>
    <v>GOOGL</v>
    <v>ALPHABET INC. (XNAS:GOOGL)</v>
    <v>162</v>
    <v>1981523</v>
    <v>2015</v>
  </rv>
  <rv s="4">
    <v>53</v>
  </rv>
  <rv s="0">
    <v>http://en.wikipedia.org/wiki/Microsoft</v>
    <v>Wikipedia</v>
  </rv>
  <rv s="1">
    <v>0</v>
    <v>55</v>
  </rv>
  <rv s="2">
    <v>6</v>
    <v>7</v>
    <v>https://www.bing.com/th?id=AMMS_c6939a08cba290c186ef1b935254e91d&amp;qlt=95</v>
    <v>56</v>
    <v>https://www.bing.com/images/search?form=xlimg&amp;q=microsoft</v>
    <v>Image of MICROSOFT CORPORATION</v>
    <v/>
  </rv>
  <rv s="0">
    <v>https://www.bing.com/financeapi/forcetrigger?t=a1xzim&amp;q=XNAS%3aMSFT&amp;form=skydnc</v>
    <v>Learn more on Bing</v>
  </rv>
  <rv s="7">
    <v>en-US</v>
    <v>a1xzim</v>
    <v>268435456</v>
    <v>268435457</v>
    <v>1</v>
    <v>Powered by Refinitiv</v>
    <v>11</v>
    <v>MICROSOFT CORPORATION (XNAS:MSFT)</v>
    <v>3</v>
    <v>12</v>
    <v>Finance</v>
    <v>13</v>
    <v>216.38</v>
    <v>130.78</v>
    <v>0.91300000000000003</v>
    <v>8.7200000000000006</v>
    <v>4.2980999999999998E-2</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144000</v>
    <v>Nasdaq Stock Market</v>
    <v>XNAS</v>
    <v>XNAS</v>
    <v>1 Microsoft Way, REDMOND, WA, 98052-6399 US</v>
    <v>212.3</v>
    <v>57</v>
    <v>Software &amp; IT Services</v>
    <v>Stock</v>
    <v>44032.999995497659</v>
    <v>58</v>
    <v>203.01</v>
    <v>1538528000000</v>
    <v>MICROSOFT CORPORATION</v>
    <v>MICROSOFT CORPORATION</v>
    <v>205</v>
    <v>37.3245</v>
    <v>202.88</v>
    <v>211.6</v>
    <v>7583440000</v>
    <v>MSFT</v>
    <v>MICROSOFT CORPORATION (XNAS:MSFT)</v>
    <v>6433</v>
    <v>33804683</v>
    <v>1993</v>
  </rv>
  <rv s="4">
    <v>59</v>
  </rv>
  <rv s="0">
    <v>http://en.wikipedia.org/wiki/Rio_Tinto_(corporation)</v>
    <v>Wikipedia</v>
  </rv>
  <rv s="1">
    <v>0</v>
    <v>61</v>
  </rv>
  <rv s="2">
    <v>6</v>
    <v>7</v>
    <v>https://www.bing.com/th?id=AMMS_76e27f29871715fb0e0d26c80b70bd2d&amp;qlt=95</v>
    <v>62</v>
    <v>https://www.bing.com/images/search?form=xlimg&amp;q=rio+tinto+group</v>
    <v>Image of RIO TINTO PLC</v>
    <v/>
  </rv>
  <rv s="0">
    <v>https://www.bing.com/financeapi/forcetrigger?t=a221mw&amp;q=XNYS%3aRIO&amp;form=skydnc</v>
    <v>Learn more on Bing</v>
  </rv>
  <rv s="7">
    <v>en-US</v>
    <v>a221mw</v>
    <v>268435456</v>
    <v>268435457</v>
    <v>1</v>
    <v>Powered by Refinitiv</v>
    <v>11</v>
    <v>RIO TINTO PLC (XNYS:RIO)</v>
    <v>3</v>
    <v>12</v>
    <v>Finance</v>
    <v>13</v>
    <v>62.42</v>
    <v>35.35</v>
    <v>0.76149999999999995</v>
    <v>0.27</v>
    <v>4.3439999999999998E-3</v>
    <v>USD</v>
    <v>Rio Tinto plc is a mining and metals company. The Company's business is finding, mining and processing mineral resources. The Company's segments include Iron Ore, Aluminium, Copper &amp; Diamonds, Energy &amp; Minerals and Other Operations. The Company operates an iron ore business, supplying the global seaborne iron ore trade. Its Iron Ore product operations are located in the Pilbara region of Western Australia and operations include approximately five iron ore products and approximately four port terminals. The Aluminium business includes bauxite mines, alumina refineries and aluminum smelters. Its bauxite mines are located in Australia, Brazil and Guinea. The Copper &amp; Diamonds segment has managed operations in Australia, Canada, Mongolia and the United States, and non-managed operations in Chile and Indonesia. The Energy &amp; Minerals segment consists of mining, refining and marketing operations across sectors including borates, iron ore concentrate and pellets, titanium dioxide and uranium.</v>
    <v>46000</v>
    <v>New York Stock Exchange</v>
    <v>XNYS</v>
    <v>XNYS</v>
    <v>6 St. James's Square, LONDON, UNITED KINGDOM-NA, SW1Y 4AD GB</v>
    <v>62.79</v>
    <v>63</v>
    <v>Metals &amp; Mining</v>
    <v>Stock</v>
    <v>44032.958333356248</v>
    <v>64</v>
    <v>61.92</v>
    <v>104241200000</v>
    <v>RIO TINTO PLC</v>
    <v>RIO TINTO PLC</v>
    <v>61.94</v>
    <v>12.797599999999999</v>
    <v>62.15</v>
    <v>62.42</v>
    <v>1617907000</v>
    <v>RIO</v>
    <v>RIO TINTO PLC (XNYS:RIO)</v>
    <v>100</v>
    <v>2238137</v>
    <v>1962</v>
  </rv>
  <rv s="4">
    <v>65</v>
  </rv>
  <rv s="0">
    <v>http://en.wikipedia.org/wiki/Square,_Inc.</v>
    <v>Wikipedia</v>
  </rv>
  <rv s="1">
    <v>0</v>
    <v>67</v>
  </rv>
  <rv s="2">
    <v>6</v>
    <v>7</v>
    <v>https://www.bing.com/th?id=AMMS_878826beb4f985541f4b3b62b4e00be4&amp;qlt=95</v>
    <v>68</v>
    <v>https://www.bing.com/images/search?form=xlimg&amp;q=square%2c+inc.</v>
    <v>Image of SQUARE, INC.</v>
    <v/>
  </rv>
  <rv s="0">
    <v>https://www.bing.com/financeapi/forcetrigger?t=a23i8m&amp;q=XNYS%3aSQ&amp;form=skydnc</v>
    <v>Learn more on Bing</v>
  </rv>
  <rv s="7">
    <v>en-US</v>
    <v>a23i8m</v>
    <v>268435456</v>
    <v>268435457</v>
    <v>1</v>
    <v>Powered by Refinitiv</v>
    <v>11</v>
    <v>SQUARE, INC. (XNYS:SQ)</v>
    <v>3</v>
    <v>12</v>
    <v>Finance</v>
    <v>13</v>
    <v>133.81</v>
    <v>32.33</v>
    <v>2.6920000000000002</v>
    <v>7.66</v>
    <v>6.344699999999999E-2</v>
    <v>USD</v>
    <v>Square, Inc. (Square) is a commerce ecosystem. The Company enables its sellers start, run and grow their businesses. It combines software with hardware to enable sellers to turn mobile devices and computing devices into payments and point-of-sale solutions. Once a seller downloads the Square Point of Sale mobile application, they can take their first payment. With its offering, a seller can accept payments in person via magnetic stripe (a swipe), Europay, MasterCard, and Visa (EMV) (a dip), or Near Field Communication (NFC) (a tap); or online via Square Invoices, Square Virtual Terminal, or the seller's Website. Once on its system, sellers gain access to technology and features, such as reporting and analytics, next-day settlements, digital receipts, payment dispute management and chargeback protection, and Payment Card Industry (PCI) compliance. On the consumer (buyer) side, Square Cash offers individuals access to a way to send and receive money.</v>
    <v>3835</v>
    <v>New York Stock Exchange</v>
    <v>XNYS</v>
    <v>XNYS</v>
    <v>1455 Market Street, Suite 600, SAN FRANCISCO, CA, 94103 US</v>
    <v>129.46</v>
    <v>69</v>
    <v>Software &amp; IT Services</v>
    <v>Stock</v>
    <v>44032.99988646953</v>
    <v>70</v>
    <v>120.53</v>
    <v>53042880000</v>
    <v>SQUARE, INC.</v>
    <v>SQUARE, INC.</v>
    <v>121.26</v>
    <v>276.31549999999999</v>
    <v>120.73</v>
    <v>128.38999999999999</v>
    <v>439351300</v>
    <v>SQ</v>
    <v>SQUARE, INC. (XNYS:SQ)</v>
    <v>507</v>
    <v>15622086</v>
    <v>2009</v>
  </rv>
  <rv s="4">
    <v>71</v>
  </rv>
</rvData>
</file>

<file path=xl/richData/rdrichvaluestructure.xml><?xml version="1.0" encoding="utf-8"?>
<rvStructures xmlns="http://schemas.microsoft.com/office/spreadsheetml/2017/richdata" count="8">
  <s t="_hyperlink">
    <k n="Address" t="s"/>
    <k n="Text" t="s"/>
  </s>
  <s t="_sourceattribution">
    <k n="License" t="r"/>
    <k n="Source" t="r"/>
  </s>
  <s t="_imageurl">
    <k n="_Flags" t="spb"/>
    <k n="_Provider" t="spb"/>
    <k n="Address" t="s"/>
    <k n="Attribution" t="r"/>
    <k n="More Images Address" t="s"/>
    <k n="Text" t="s"/>
    <k n="Blip Identifier"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
    <k n="%cvi" t="r"/>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43">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34">
      <v t="s">%EntityServiceId</v>
      <v t="s">_Format</v>
      <v t="s">%EntitySubDomainId</v>
      <v t="s">%EntityCulture</v>
      <v t="s">%IsRefreshable</v>
      <v t="s">%EntityId</v>
      <v t="s">_Icon</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v t="s">_Display</v>
    </a>
    <a count="44">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spbArrays>
  <spbData count="16">
    <spb s="0">
      <v>0</v>
    </spb>
    <spb s="1">
      <v>0</v>
      <v>0</v>
    </spb>
    <spb s="2">
      <v>0</v>
      <v>0</v>
      <v>0</v>
    </spb>
    <spb s="3">
      <v>1</v>
      <v>2</v>
      <v>2</v>
      <v>2</v>
    </spb>
    <spb s="4">
      <v>1</v>
      <v>2</v>
      <v>2</v>
      <v>1</v>
      <v>3</v>
      <v>1</v>
      <v>4</v>
      <v>1</v>
      <v>1</v>
      <v>5</v>
      <v>5</v>
      <v>6</v>
      <v>7</v>
      <v>1</v>
      <v>1</v>
      <v>1</v>
      <v>8</v>
      <v>9</v>
      <v>10</v>
      <v>11</v>
      <v>10</v>
      <v>5</v>
    </spb>
    <spb s="5">
      <v>Delayed 20 minutes</v>
      <v>from previous close</v>
      <v>from previous close</v>
      <v>GMT</v>
    </spb>
    <spb s="6">
      <v>2</v>
    </spb>
    <spb s="7">
      <v>Powered by Refinitiv</v>
    </spb>
    <spb s="0">
      <v>1</v>
    </spb>
    <spb s="8">
      <v>2</v>
      <v>2</v>
    </spb>
    <spb s="9">
      <v>1</v>
      <v>2</v>
      <v>1</v>
      <v>3</v>
      <v>1</v>
      <v>1</v>
      <v>1</v>
      <v>5</v>
      <v>6</v>
      <v>7</v>
      <v>1</v>
      <v>1</v>
      <v>6</v>
      <v>1</v>
      <v>8</v>
      <v>9</v>
      <v>10</v>
      <v>10</v>
    </spb>
    <spb s="0">
      <v>2</v>
    </spb>
    <spb s="10">
      <v>12</v>
      <v>2</v>
      <v>2</v>
      <v>12</v>
      <v>3</v>
      <v>12</v>
      <v>4</v>
      <v>12</v>
      <v>12</v>
      <v>5</v>
      <v>5</v>
      <v>6</v>
      <v>13</v>
      <v>12</v>
      <v>12</v>
      <v>12</v>
      <v>5</v>
      <v>8</v>
      <v>9</v>
      <v>10</v>
      <v>11</v>
      <v>10</v>
      <v>5</v>
    </spb>
    <spb s="11">
      <v>Real-Time Nasdaq Last Sale</v>
      <v>from previous close</v>
      <v>from previous close</v>
      <v>Source: Nasdaq Last Sale</v>
      <v>GMT</v>
    </spb>
    <spb s="10">
      <v>12</v>
      <v>2</v>
      <v>2</v>
      <v>12</v>
      <v>3</v>
      <v>12</v>
      <v>4</v>
      <v>12</v>
      <v>12</v>
      <v>5</v>
      <v>5</v>
      <v>6</v>
      <v>14</v>
      <v>12</v>
      <v>12</v>
      <v>12</v>
      <v>5</v>
      <v>8</v>
      <v>9</v>
      <v>10</v>
      <v>11</v>
      <v>10</v>
      <v>5</v>
    </spb>
    <spb s="11">
      <v>Delayed 15 minutes</v>
      <v>from previous close</v>
      <v>from previous close</v>
      <v>Source: Nasdaq</v>
      <v>GMT</v>
    </spb>
  </spbData>
</supportingPropertyBags>
</file>

<file path=xl/richData/rdsupportingpropertybagstructure.xml><?xml version="1.0" encoding="utf-8"?>
<spbStructures xmlns="http://schemas.microsoft.com/office/spreadsheetml/2017/richdata2" count="12">
  <s>
    <k n="^Order" t="spba"/>
  </s>
  <s>
    <k n="ShowInDotNotation" t="b"/>
    <k n="ShowInAutoComplete" t="b"/>
  </s>
  <s>
    <k n="ShowInCardView" t="b"/>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Price" t="s"/>
    <k n="Change" t="s"/>
    <k n="Change (%)" t="s"/>
    <k n="Last trade time" t="s"/>
  </s>
  <s>
    <k n="%ProviderInfo" t="spb"/>
  </s>
  <s>
    <k n="name" t="s"/>
  </s>
  <s>
    <k n="UniqueName" t="spb"/>
    <k n="%ProviderInfo" t="spb"/>
  </s>
  <s>
    <k n="Low" t="i"/>
    <k n="Beta" t="i"/>
    <k n="High" t="i"/>
    <k n="Name" t="i"/>
    <k n="Open" t="i"/>
    <k n="Price" t="i"/>
    <k n="Change" t="i"/>
    <k n="Volume" t="i"/>
    <k n="Change (%)" t="i"/>
    <k n="Market cap" t="i"/>
    <k n="52 week low" t="i"/>
    <k n="52 week high" t="i"/>
    <k n="Expense ratio" t="i"/>
    <k n="Previous close" t="i"/>
    <k n="_DisplayString" t="i"/>
    <k n="Last trade time" t="i"/>
    <k n="%EntityServiceId" t="i"/>
    <k n="%EntitySubDomainId" t="i"/>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1">
    <x:dxf>
      <x:numFmt numFmtId="168" formatCode="_-[$$-C09]* #,##0.00_-;\-[$$-C09]* #,##0.00_-;_-[$$-C09]* &quot;-&quot;??_-;_-@_-"/>
    </x:dxf>
    <x:dxf>
      <x:numFmt numFmtId="4" formatCode="#,##0.00"/>
    </x:dxf>
    <x:dxf>
      <x:numFmt numFmtId="3" formatCode="#,##0"/>
    </x:dxf>
    <x:dxf>
      <x:numFmt numFmtId="14" formatCode="0.00%"/>
    </x:dxf>
    <x:dxf>
      <x:numFmt numFmtId="167" formatCode="_-[$$-C09]* #,##0_-;\-[$$-C09]* #,##0_-;_-[$$-C09]* &quot;-&quot;_-;_-@_-"/>
    </x:dxf>
    <x:dxf>
      <x:numFmt numFmtId="27" formatCode="d/mm/yyyy\ h:mm"/>
    </x:dxf>
    <x:dxf>
      <x:numFmt numFmtId="2" formatCode="0.00"/>
    </x:dxf>
    <x:dxf>
      <x:numFmt numFmtId="1" formatCode="0"/>
    </x:dxf>
    <x:dxf>
      <x:numFmt numFmtId="166" formatCode="_([$$-409]* #,##0.00_);_([$$-409]* \(#,##0.00\);_([$$-409]* &quot;-&quot;??_);_(@_)"/>
    </x:dxf>
    <x:dxf>
      <x:numFmt numFmtId="165" formatCode="_([$$-409]* #,##0_);_([$$-409]* \(#,##0\);_([$$-409]* &quot;-&quot;_);_(@_)"/>
    </x:dxf>
    <x:dxf>
      <x:numFmt numFmtId="164" formatCode="_ [$¥-804]* #,##0_ ;_ [$¥-804]* \-#,##0_ ;_ [$¥-804]* &quot;-&quot;_ ;_ @_ "/>
    </x:dxf>
  </dxfs>
  <richProperties>
    <rPr n="IsTitleField" t="b"/>
    <rPr n="IsHeroField" t="b"/>
    <rPr n="ShouldShowInCell" t="b"/>
  </richProperties>
  <richStyles>
    <rSty dxfid="0"/>
    <rSty dxfid="1"/>
    <rSty>
      <rpv i="0">1</rpv>
    </rSty>
    <rSty>
      <rpv i="1">1</rpv>
    </rSty>
    <rSty dxfid="2"/>
    <rSty dxfid="3"/>
    <rSty dxfid="4"/>
    <rSty>
      <rpv i="2">1</rpv>
    </rSty>
    <rSty dxfid="5"/>
    <rSty dxfid="6"/>
    <rSty dxfid="7"/>
    <rSty dxfid="8"/>
    <rSty dxfid="9"/>
    <rSty dxfid="10"/>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CBEBB-4610-4FE1-BEE5-E6ED61C39D54}">
  <sheetPr codeName="Sheet11"/>
  <dimension ref="A1:G71"/>
  <sheetViews>
    <sheetView workbookViewId="0">
      <selection activeCell="F18" sqref="F18"/>
    </sheetView>
  </sheetViews>
  <sheetFormatPr defaultRowHeight="14.4" x14ac:dyDescent="0.3"/>
  <cols>
    <col min="3" max="3" width="13.21875" bestFit="1" customWidth="1"/>
  </cols>
  <sheetData>
    <row r="1" spans="1:3" x14ac:dyDescent="0.3">
      <c r="A1" t="s">
        <v>68</v>
      </c>
    </row>
    <row r="3" spans="1:3" x14ac:dyDescent="0.3">
      <c r="A3" t="s">
        <v>71</v>
      </c>
      <c r="B3" t="s">
        <v>69</v>
      </c>
      <c r="C3" t="s">
        <v>70</v>
      </c>
    </row>
    <row r="4" spans="1:3" x14ac:dyDescent="0.3">
      <c r="A4" t="s">
        <v>0</v>
      </c>
      <c r="B4">
        <v>0.67204301</v>
      </c>
      <c r="C4">
        <v>9.9999999888000008</v>
      </c>
    </row>
    <row r="5" spans="1:3" x14ac:dyDescent="0.3">
      <c r="A5" t="s">
        <v>1</v>
      </c>
      <c r="B5">
        <v>0.54843771000000008</v>
      </c>
      <c r="C5">
        <v>154.99998764829999</v>
      </c>
    </row>
    <row r="6" spans="1:3" x14ac:dyDescent="0.3">
      <c r="A6" t="s">
        <v>2</v>
      </c>
      <c r="B6">
        <v>0</v>
      </c>
      <c r="C6">
        <v>8.6214531670999985</v>
      </c>
    </row>
    <row r="7" spans="1:3" x14ac:dyDescent="0.3">
      <c r="A7" t="s">
        <v>3</v>
      </c>
      <c r="B7">
        <v>0</v>
      </c>
      <c r="C7">
        <v>-0.68343957329999938</v>
      </c>
    </row>
    <row r="8" spans="1:3" x14ac:dyDescent="0.3">
      <c r="A8" t="s">
        <v>4</v>
      </c>
      <c r="B8">
        <v>2.2204460492503131E-16</v>
      </c>
      <c r="C8">
        <v>-14.481194596000002</v>
      </c>
    </row>
    <row r="9" spans="1:3" x14ac:dyDescent="0.3">
      <c r="A9" t="s">
        <v>5</v>
      </c>
      <c r="B9">
        <v>7.9262759999999988E-2</v>
      </c>
      <c r="C9">
        <v>144.85878947589998</v>
      </c>
    </row>
    <row r="10" spans="1:3" x14ac:dyDescent="0.3">
      <c r="A10" t="s">
        <v>6</v>
      </c>
      <c r="B10">
        <v>0</v>
      </c>
      <c r="C10">
        <v>0.13259668439999928</v>
      </c>
    </row>
    <row r="11" spans="1:3" x14ac:dyDescent="0.3">
      <c r="A11" t="s">
        <v>7</v>
      </c>
      <c r="B11">
        <v>0</v>
      </c>
      <c r="C11">
        <v>-0.22599298260000111</v>
      </c>
    </row>
    <row r="12" spans="1:3" x14ac:dyDescent="0.3">
      <c r="A12" t="s">
        <v>8</v>
      </c>
      <c r="B12">
        <v>0</v>
      </c>
      <c r="C12">
        <v>1.3391020432000005</v>
      </c>
    </row>
    <row r="13" spans="1:3" x14ac:dyDescent="0.3">
      <c r="A13" t="s">
        <v>9</v>
      </c>
      <c r="B13">
        <v>0</v>
      </c>
      <c r="C13">
        <v>-0.98469724299999939</v>
      </c>
    </row>
    <row r="14" spans="1:3" x14ac:dyDescent="0.3">
      <c r="A14" t="s">
        <v>10</v>
      </c>
      <c r="B14">
        <v>0.22550032999999997</v>
      </c>
      <c r="C14">
        <v>47.499995756499999</v>
      </c>
    </row>
    <row r="15" spans="1:3" x14ac:dyDescent="0.3">
      <c r="A15" t="s">
        <v>11</v>
      </c>
      <c r="B15">
        <v>0</v>
      </c>
      <c r="C15">
        <v>-0.23142050660000102</v>
      </c>
    </row>
    <row r="16" spans="1:3" x14ac:dyDescent="0.3">
      <c r="A16" t="s">
        <v>12</v>
      </c>
      <c r="B16">
        <v>1</v>
      </c>
      <c r="C16">
        <v>51.635675942199995</v>
      </c>
    </row>
    <row r="17" spans="1:7" x14ac:dyDescent="0.3">
      <c r="A17" t="s">
        <v>13</v>
      </c>
      <c r="B17">
        <v>0</v>
      </c>
      <c r="C17">
        <v>-1.7581844900999997</v>
      </c>
    </row>
    <row r="18" spans="1:7" x14ac:dyDescent="0.3">
      <c r="A18" t="s">
        <v>14</v>
      </c>
      <c r="B18">
        <v>0</v>
      </c>
      <c r="C18">
        <v>1.4992503699998494E-2</v>
      </c>
    </row>
    <row r="19" spans="1:7" x14ac:dyDescent="0.3">
      <c r="A19" t="s">
        <v>15</v>
      </c>
      <c r="B19">
        <v>0</v>
      </c>
      <c r="C19">
        <v>9.4577552999998815E-2</v>
      </c>
    </row>
    <row r="20" spans="1:7" x14ac:dyDescent="0.3">
      <c r="A20" t="s">
        <v>16</v>
      </c>
      <c r="B20">
        <v>0</v>
      </c>
      <c r="C20">
        <v>-0.51353052089999984</v>
      </c>
    </row>
    <row r="21" spans="1:7" x14ac:dyDescent="0.3">
      <c r="A21" t="s">
        <v>17</v>
      </c>
      <c r="B21">
        <v>0</v>
      </c>
      <c r="C21">
        <v>-0.37497477240000165</v>
      </c>
    </row>
    <row r="22" spans="1:7" x14ac:dyDescent="0.3">
      <c r="A22" t="s">
        <v>18</v>
      </c>
      <c r="B22">
        <v>0</v>
      </c>
      <c r="C22">
        <v>-9.21052615000022E-2</v>
      </c>
      <c r="G22" t="s">
        <v>126</v>
      </c>
    </row>
    <row r="23" spans="1:7" x14ac:dyDescent="0.3">
      <c r="A23" t="s">
        <v>19</v>
      </c>
      <c r="B23">
        <v>0</v>
      </c>
      <c r="C23">
        <v>-1.0738254975999997</v>
      </c>
      <c r="G23">
        <f>ABS(SUMIF(B4:B71,"&lt;0.001",C4:C71))</f>
        <v>10.478266246999993</v>
      </c>
    </row>
    <row r="24" spans="1:7" x14ac:dyDescent="0.3">
      <c r="A24" t="s">
        <v>20</v>
      </c>
      <c r="B24">
        <v>0</v>
      </c>
      <c r="C24">
        <v>-1.9999999999999574E-2</v>
      </c>
    </row>
    <row r="25" spans="1:7" x14ac:dyDescent="0.3">
      <c r="A25" t="s">
        <v>21</v>
      </c>
      <c r="B25">
        <v>0</v>
      </c>
      <c r="C25">
        <v>-0.10234769599999538</v>
      </c>
    </row>
    <row r="26" spans="1:7" x14ac:dyDescent="0.3">
      <c r="A26" t="s">
        <v>22</v>
      </c>
      <c r="B26">
        <v>0</v>
      </c>
      <c r="C26">
        <v>2.0392409022000031</v>
      </c>
    </row>
    <row r="27" spans="1:7" x14ac:dyDescent="0.3">
      <c r="A27" t="s">
        <v>23</v>
      </c>
      <c r="B27">
        <v>0</v>
      </c>
      <c r="C27">
        <v>0.39336201280000083</v>
      </c>
    </row>
    <row r="28" spans="1:7" x14ac:dyDescent="0.3">
      <c r="A28" t="s">
        <v>24</v>
      </c>
      <c r="B28">
        <v>0.12857025</v>
      </c>
      <c r="C28">
        <v>169.9899511632</v>
      </c>
    </row>
    <row r="29" spans="1:7" x14ac:dyDescent="0.3">
      <c r="A29" t="s">
        <v>25</v>
      </c>
      <c r="B29">
        <v>0</v>
      </c>
      <c r="C29">
        <v>-0.39705240119999985</v>
      </c>
    </row>
    <row r="30" spans="1:7" x14ac:dyDescent="0.3">
      <c r="A30" t="s">
        <v>26</v>
      </c>
      <c r="B30">
        <v>0</v>
      </c>
      <c r="C30">
        <v>2.5918438469000051</v>
      </c>
    </row>
    <row r="31" spans="1:7" x14ac:dyDescent="0.3">
      <c r="A31" t="s">
        <v>27</v>
      </c>
      <c r="B31">
        <v>0</v>
      </c>
      <c r="C31">
        <v>-0.18908406329999927</v>
      </c>
    </row>
    <row r="32" spans="1:7" x14ac:dyDescent="0.3">
      <c r="A32" t="s">
        <v>28</v>
      </c>
      <c r="B32">
        <v>0</v>
      </c>
      <c r="C32">
        <v>-0.12010086229999928</v>
      </c>
    </row>
    <row r="33" spans="1:3" x14ac:dyDescent="0.3">
      <c r="A33" t="s">
        <v>29</v>
      </c>
      <c r="B33">
        <v>0</v>
      </c>
      <c r="C33">
        <v>2.0400612309999993</v>
      </c>
    </row>
    <row r="34" spans="1:3" x14ac:dyDescent="0.3">
      <c r="A34" t="s">
        <v>30</v>
      </c>
      <c r="B34">
        <v>0</v>
      </c>
      <c r="C34">
        <v>0.54035999999999973</v>
      </c>
    </row>
    <row r="35" spans="1:3" x14ac:dyDescent="0.3">
      <c r="A35" t="s">
        <v>31</v>
      </c>
      <c r="B35">
        <v>-2.2204460492503131E-16</v>
      </c>
      <c r="C35">
        <v>-0.83991630779999937</v>
      </c>
    </row>
    <row r="36" spans="1:3" x14ac:dyDescent="0.3">
      <c r="A36" t="s">
        <v>32</v>
      </c>
      <c r="B36">
        <v>0</v>
      </c>
      <c r="C36">
        <v>-0.1521298170000005</v>
      </c>
    </row>
    <row r="37" spans="1:3" x14ac:dyDescent="0.3">
      <c r="A37" t="s">
        <v>33</v>
      </c>
      <c r="B37">
        <v>0</v>
      </c>
      <c r="C37">
        <v>-0.32063372240000021</v>
      </c>
    </row>
    <row r="38" spans="1:3" x14ac:dyDescent="0.3">
      <c r="A38" t="s">
        <v>34</v>
      </c>
      <c r="B38">
        <v>0</v>
      </c>
      <c r="C38">
        <v>-0.91666666519999929</v>
      </c>
    </row>
    <row r="39" spans="1:3" x14ac:dyDescent="0.3">
      <c r="A39" t="s">
        <v>35</v>
      </c>
      <c r="B39">
        <v>0.21574826000000003</v>
      </c>
      <c r="C39">
        <v>24.999999325399997</v>
      </c>
    </row>
    <row r="40" spans="1:3" x14ac:dyDescent="0.3">
      <c r="A40" t="s">
        <v>36</v>
      </c>
      <c r="B40">
        <v>0</v>
      </c>
      <c r="C40">
        <v>-0.23579435320000286</v>
      </c>
    </row>
    <row r="41" spans="1:3" x14ac:dyDescent="0.3">
      <c r="A41" t="s">
        <v>37</v>
      </c>
      <c r="B41">
        <v>0</v>
      </c>
      <c r="C41">
        <v>2.3081295691999983</v>
      </c>
    </row>
    <row r="42" spans="1:3" x14ac:dyDescent="0.3">
      <c r="A42" t="s">
        <v>38</v>
      </c>
      <c r="B42">
        <v>0</v>
      </c>
      <c r="C42">
        <v>-1.8283291673999997</v>
      </c>
    </row>
    <row r="43" spans="1:3" x14ac:dyDescent="0.3">
      <c r="A43" t="s">
        <v>39</v>
      </c>
      <c r="B43">
        <v>0</v>
      </c>
      <c r="C43">
        <v>0.35073409239999975</v>
      </c>
    </row>
    <row r="44" spans="1:3" x14ac:dyDescent="0.3">
      <c r="A44" t="s">
        <v>40</v>
      </c>
      <c r="B44">
        <v>0</v>
      </c>
      <c r="C44">
        <v>3.9427131744000015</v>
      </c>
    </row>
    <row r="45" spans="1:3" x14ac:dyDescent="0.3">
      <c r="A45" t="s">
        <v>41</v>
      </c>
      <c r="B45">
        <v>0</v>
      </c>
      <c r="C45">
        <v>1.2574501064999986</v>
      </c>
    </row>
    <row r="46" spans="1:3" x14ac:dyDescent="0.3">
      <c r="A46" t="s">
        <v>42</v>
      </c>
      <c r="B46">
        <v>1.0015869500000001</v>
      </c>
      <c r="C46">
        <v>156.99999503389998</v>
      </c>
    </row>
    <row r="47" spans="1:3" x14ac:dyDescent="0.3">
      <c r="A47" t="s">
        <v>43</v>
      </c>
      <c r="B47">
        <v>0</v>
      </c>
      <c r="C47">
        <v>-1.3179916217999992</v>
      </c>
    </row>
    <row r="48" spans="1:3" x14ac:dyDescent="0.3">
      <c r="A48" t="s">
        <v>44</v>
      </c>
      <c r="B48">
        <v>0</v>
      </c>
      <c r="C48">
        <v>1.5269491512000002</v>
      </c>
    </row>
    <row r="49" spans="1:3" x14ac:dyDescent="0.3">
      <c r="A49" t="s">
        <v>45</v>
      </c>
      <c r="B49">
        <v>0</v>
      </c>
      <c r="C49">
        <v>-5.2013421299999862E-2</v>
      </c>
    </row>
    <row r="50" spans="1:3" x14ac:dyDescent="0.3">
      <c r="A50" t="s">
        <v>46</v>
      </c>
      <c r="B50">
        <v>0</v>
      </c>
      <c r="C50">
        <v>-0.22013712939999941</v>
      </c>
    </row>
    <row r="51" spans="1:3" x14ac:dyDescent="0.3">
      <c r="A51" t="s">
        <v>47</v>
      </c>
      <c r="B51">
        <v>0</v>
      </c>
      <c r="C51">
        <v>0.37731958700000057</v>
      </c>
    </row>
    <row r="52" spans="1:3" x14ac:dyDescent="0.3">
      <c r="A52" t="s">
        <v>48</v>
      </c>
      <c r="B52">
        <v>0</v>
      </c>
      <c r="C52">
        <v>-0.55775316420000109</v>
      </c>
    </row>
    <row r="53" spans="1:3" x14ac:dyDescent="0.3">
      <c r="A53" t="s">
        <v>49</v>
      </c>
      <c r="B53">
        <v>0</v>
      </c>
      <c r="C53">
        <v>0.35999999999999943</v>
      </c>
    </row>
    <row r="54" spans="1:3" x14ac:dyDescent="0.3">
      <c r="A54" t="s">
        <v>50</v>
      </c>
      <c r="B54">
        <v>0</v>
      </c>
      <c r="C54">
        <v>4.0311885800001335E-2</v>
      </c>
    </row>
    <row r="55" spans="1:3" x14ac:dyDescent="0.3">
      <c r="A55" t="s">
        <v>51</v>
      </c>
      <c r="B55">
        <v>0.99999999999999989</v>
      </c>
      <c r="C55">
        <v>55.833498908999999</v>
      </c>
    </row>
    <row r="56" spans="1:3" x14ac:dyDescent="0.3">
      <c r="A56" t="s">
        <v>52</v>
      </c>
      <c r="B56">
        <v>0</v>
      </c>
      <c r="C56">
        <v>-0.87121211940000087</v>
      </c>
    </row>
    <row r="57" spans="1:3" x14ac:dyDescent="0.3">
      <c r="A57" t="s">
        <v>53</v>
      </c>
      <c r="B57">
        <v>0</v>
      </c>
      <c r="C57">
        <v>0.35764798289999966</v>
      </c>
    </row>
    <row r="58" spans="1:3" x14ac:dyDescent="0.3">
      <c r="A58" t="s">
        <v>54</v>
      </c>
      <c r="B58">
        <v>0</v>
      </c>
      <c r="C58">
        <v>-3.1328320800000142E-2</v>
      </c>
    </row>
    <row r="59" spans="1:3" x14ac:dyDescent="0.3">
      <c r="A59" t="s">
        <v>55</v>
      </c>
      <c r="B59">
        <v>1</v>
      </c>
      <c r="C59">
        <v>16.41</v>
      </c>
    </row>
    <row r="60" spans="1:3" x14ac:dyDescent="0.3">
      <c r="A60" t="s">
        <v>56</v>
      </c>
      <c r="B60">
        <v>0.79858695000000002</v>
      </c>
      <c r="C60">
        <v>54.820408074300005</v>
      </c>
    </row>
    <row r="61" spans="1:3" x14ac:dyDescent="0.3">
      <c r="A61" t="s">
        <v>57</v>
      </c>
      <c r="B61">
        <v>0</v>
      </c>
      <c r="C61">
        <v>0.79838317300000128</v>
      </c>
    </row>
    <row r="62" spans="1:3" x14ac:dyDescent="0.3">
      <c r="A62" t="s">
        <v>58</v>
      </c>
      <c r="B62">
        <v>0</v>
      </c>
      <c r="C62">
        <v>0.47349823260000079</v>
      </c>
    </row>
    <row r="63" spans="1:3" x14ac:dyDescent="0.3">
      <c r="A63" t="s">
        <v>59</v>
      </c>
      <c r="B63">
        <v>0</v>
      </c>
      <c r="C63">
        <v>3.5656126464</v>
      </c>
    </row>
    <row r="64" spans="1:3" x14ac:dyDescent="0.3">
      <c r="A64" t="s">
        <v>60</v>
      </c>
      <c r="B64">
        <v>0.21053726</v>
      </c>
      <c r="C64">
        <v>30.399998223200001</v>
      </c>
    </row>
    <row r="65" spans="1:3" x14ac:dyDescent="0.3">
      <c r="A65" t="s">
        <v>61</v>
      </c>
      <c r="B65">
        <v>0</v>
      </c>
      <c r="C65">
        <v>2.4077253189000007</v>
      </c>
    </row>
    <row r="66" spans="1:3" x14ac:dyDescent="0.3">
      <c r="A66" t="s">
        <v>62</v>
      </c>
      <c r="B66">
        <v>-6.9388939039072284E-18</v>
      </c>
      <c r="C66">
        <v>-9.4569984939999969</v>
      </c>
    </row>
    <row r="67" spans="1:3" x14ac:dyDescent="0.3">
      <c r="A67" t="s">
        <v>63</v>
      </c>
      <c r="B67">
        <v>5.2199330000000002E-2</v>
      </c>
      <c r="C67">
        <v>14.610707613400001</v>
      </c>
    </row>
    <row r="68" spans="1:3" x14ac:dyDescent="0.3">
      <c r="A68" t="s">
        <v>64</v>
      </c>
      <c r="B68">
        <v>0</v>
      </c>
      <c r="C68">
        <v>-7.8001871237000007</v>
      </c>
    </row>
    <row r="69" spans="1:3" x14ac:dyDescent="0.3">
      <c r="A69" t="s">
        <v>65</v>
      </c>
      <c r="B69">
        <v>0</v>
      </c>
      <c r="C69">
        <v>9.4641814799999224E-2</v>
      </c>
    </row>
    <row r="70" spans="1:3" x14ac:dyDescent="0.3">
      <c r="A70" t="s">
        <v>66</v>
      </c>
      <c r="B70">
        <v>0</v>
      </c>
      <c r="C70">
        <v>-0.29793103199999926</v>
      </c>
    </row>
    <row r="71" spans="1:3" x14ac:dyDescent="0.3">
      <c r="A71" t="s">
        <v>67</v>
      </c>
      <c r="B71">
        <v>6.9324728099999993</v>
      </c>
      <c r="C71">
        <v>922.58074090710011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4FC3-49A0-4D87-B7F8-3BE7AAD34571}">
  <sheetPr codeName="Sheet8"/>
  <dimension ref="A1:AH101"/>
  <sheetViews>
    <sheetView tabSelected="1" workbookViewId="0">
      <selection activeCell="D13" sqref="D13"/>
    </sheetView>
  </sheetViews>
  <sheetFormatPr defaultRowHeight="14.4" x14ac:dyDescent="0.3"/>
  <cols>
    <col min="1" max="1" width="26.109375" bestFit="1" customWidth="1"/>
    <col min="2" max="2" width="10.6640625" bestFit="1" customWidth="1"/>
    <col min="3" max="3" width="8.21875" bestFit="1" customWidth="1"/>
    <col min="4" max="4" width="20.44140625" customWidth="1"/>
    <col min="5" max="5" width="25" customWidth="1"/>
    <col min="6" max="6" width="11.21875" customWidth="1"/>
  </cols>
  <sheetData>
    <row r="1" spans="1:34" ht="18" x14ac:dyDescent="0.35">
      <c r="A1" s="54" t="s">
        <v>117</v>
      </c>
      <c r="B1" s="55"/>
      <c r="C1" s="55"/>
      <c r="D1" s="55"/>
      <c r="E1" s="56"/>
      <c r="F1" s="56"/>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row>
    <row r="2" spans="1:34" x14ac:dyDescent="0.3">
      <c r="A2" s="57" t="s">
        <v>104</v>
      </c>
      <c r="B2" s="58" cm="1">
        <f t="array" ref="B2">INDEX('Portfolio Value Tracker'!B2:AT2,1,COUNTA('Portfolio Value Tracker'!B2:AT2))</f>
        <v>3112.22</v>
      </c>
      <c r="C2" s="57"/>
      <c r="D2" s="62" t="s">
        <v>119</v>
      </c>
      <c r="E2" s="62"/>
      <c r="F2" s="63">
        <f>B7</f>
        <v>4360</v>
      </c>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row>
    <row r="3" spans="1:34" x14ac:dyDescent="0.3">
      <c r="A3" s="57" t="s">
        <v>105</v>
      </c>
      <c r="B3" s="58" cm="1">
        <f t="array" ref="B3">INDEX('Portfolio Value Tracker'!B3:AT3,1,COUNTA('Portfolio Value Tracker'!B3:AT3))</f>
        <v>1278.9141082455003</v>
      </c>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row>
    <row r="4" spans="1:34" x14ac:dyDescent="0.3">
      <c r="A4" s="57" t="s">
        <v>106</v>
      </c>
      <c r="B4" s="58" cm="1">
        <f t="array" ref="B4">INDEX('Portfolio Value Tracker'!B4:AT4,1,COUNTA('Portfolio Value Tracker'!B4:AT4))</f>
        <v>1.42</v>
      </c>
      <c r="C4" s="57"/>
      <c r="D4" s="62" t="s">
        <v>118</v>
      </c>
      <c r="E4" s="62"/>
      <c r="F4" s="63">
        <f>B6</f>
        <v>4928.2780337086097</v>
      </c>
      <c r="G4" s="57"/>
      <c r="H4" s="57"/>
      <c r="I4" s="57"/>
      <c r="J4" s="57"/>
      <c r="K4" s="57"/>
      <c r="L4" s="57"/>
      <c r="M4" s="57"/>
      <c r="N4" s="57"/>
      <c r="O4" s="57"/>
      <c r="P4" s="57"/>
      <c r="Q4" s="57"/>
      <c r="R4" s="57"/>
      <c r="S4" s="57"/>
      <c r="T4" s="57"/>
      <c r="U4" s="57"/>
      <c r="V4" s="57"/>
      <c r="W4" s="57"/>
      <c r="X4" s="57"/>
      <c r="Y4" s="57"/>
      <c r="Z4" s="57"/>
      <c r="AA4" s="57"/>
      <c r="AB4" s="57"/>
      <c r="AC4" s="57"/>
      <c r="AD4" s="57"/>
      <c r="AE4" s="57"/>
      <c r="AF4" s="57"/>
      <c r="AG4" s="57"/>
      <c r="AH4" s="57"/>
    </row>
    <row r="5" spans="1:34" x14ac:dyDescent="0.3">
      <c r="A5" s="57" t="s">
        <v>107</v>
      </c>
      <c r="B5" s="58" cm="1">
        <f t="array" ref="B5">INDEX('Portfolio Value Tracker'!B5:AT5,1,COUNTA('Portfolio Value Tracker'!B5:AT5))</f>
        <v>1816.0580337086103</v>
      </c>
      <c r="C5" s="57"/>
      <c r="D5" s="57"/>
      <c r="E5" s="57"/>
      <c r="F5" s="57"/>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row>
    <row r="6" spans="1:34" x14ac:dyDescent="0.3">
      <c r="A6" s="59" t="s">
        <v>108</v>
      </c>
      <c r="B6" s="61" cm="1">
        <f t="array" ref="B6">INDEX('Portfolio Value Tracker'!B6:AT6,1,COUNTA('Portfolio Value Tracker'!B6:AT6))</f>
        <v>4928.2780337086097</v>
      </c>
      <c r="C6" s="57"/>
      <c r="D6" s="62" t="s">
        <v>120</v>
      </c>
      <c r="E6" s="62"/>
      <c r="F6" s="63">
        <f>F4-F2</f>
        <v>568.27803370860966</v>
      </c>
      <c r="G6" s="57"/>
      <c r="H6" s="57"/>
      <c r="I6" s="57"/>
      <c r="J6" s="57"/>
      <c r="K6" s="57"/>
      <c r="L6" s="57"/>
      <c r="M6" s="57"/>
      <c r="N6" s="57"/>
      <c r="O6" s="57"/>
      <c r="P6" s="57"/>
      <c r="Q6" s="57"/>
      <c r="R6" s="57"/>
      <c r="S6" s="57"/>
      <c r="T6" s="57"/>
      <c r="U6" s="57"/>
      <c r="V6" s="57"/>
      <c r="W6" s="57"/>
      <c r="X6" s="57"/>
      <c r="Y6" s="57"/>
      <c r="Z6" s="57"/>
      <c r="AA6" s="57"/>
      <c r="AB6" s="57"/>
      <c r="AC6" s="57"/>
      <c r="AD6" s="57"/>
      <c r="AE6" s="57"/>
      <c r="AF6" s="57"/>
      <c r="AG6" s="57"/>
      <c r="AH6" s="57"/>
    </row>
    <row r="7" spans="1:34" x14ac:dyDescent="0.3">
      <c r="A7" s="59" t="s">
        <v>109</v>
      </c>
      <c r="B7" s="61" cm="1">
        <f t="array" ref="B7">INDEX('Portfolio Value Tracker'!B7:AT7,1,COUNTA('Portfolio Value Tracker'!B7:AT7))</f>
        <v>4360</v>
      </c>
      <c r="C7" s="57"/>
      <c r="D7" s="57"/>
      <c r="E7" s="57"/>
      <c r="F7" s="57"/>
      <c r="G7" s="57"/>
      <c r="H7" s="57"/>
      <c r="I7" s="57"/>
      <c r="J7" s="57"/>
      <c r="K7" s="57"/>
      <c r="L7" s="57"/>
      <c r="M7" s="57"/>
      <c r="N7" s="57"/>
      <c r="O7" s="57"/>
      <c r="P7" s="57"/>
      <c r="Q7" s="57"/>
      <c r="R7" s="57"/>
      <c r="S7" s="57"/>
      <c r="T7" s="57"/>
      <c r="U7" s="57"/>
      <c r="V7" s="57"/>
      <c r="W7" s="57"/>
      <c r="X7" s="57"/>
      <c r="Y7" s="57"/>
      <c r="Z7" s="57"/>
      <c r="AA7" s="57"/>
      <c r="AB7" s="57"/>
      <c r="AC7" s="57"/>
      <c r="AD7" s="57"/>
      <c r="AE7" s="57"/>
      <c r="AF7" s="57"/>
      <c r="AG7" s="57"/>
      <c r="AH7" s="57"/>
    </row>
    <row r="8" spans="1:34" x14ac:dyDescent="0.3">
      <c r="A8" s="59" t="s">
        <v>110</v>
      </c>
      <c r="B8" s="60">
        <f>(B6-B7)/B7</f>
        <v>0.13033899855702055</v>
      </c>
      <c r="C8" s="57"/>
      <c r="D8" s="62" t="s">
        <v>121</v>
      </c>
      <c r="E8" s="62"/>
      <c r="F8" s="63">
        <f>B9</f>
        <v>34.29</v>
      </c>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row>
    <row r="9" spans="1:34" x14ac:dyDescent="0.3">
      <c r="A9" s="59" t="s">
        <v>111</v>
      </c>
      <c r="B9" s="58" cm="1">
        <f t="array" ref="B9">INDEX('Portfolio Value Tracker'!B9:AT9,1,COUNTA('Portfolio Value Tracker'!B9:AT9))</f>
        <v>34.29</v>
      </c>
      <c r="C9" s="57"/>
      <c r="D9" s="57"/>
      <c r="E9" s="57"/>
      <c r="F9" s="57"/>
      <c r="G9" s="57"/>
      <c r="H9" s="57"/>
      <c r="I9" s="57"/>
      <c r="J9" s="57"/>
      <c r="K9" s="57"/>
      <c r="L9" s="57"/>
      <c r="M9" s="57"/>
      <c r="N9" s="57"/>
      <c r="O9" s="57"/>
      <c r="P9" s="57"/>
      <c r="Q9" s="57"/>
      <c r="R9" s="57"/>
      <c r="S9" s="57"/>
      <c r="T9" s="57"/>
      <c r="U9" s="57"/>
      <c r="V9" s="57"/>
      <c r="W9" s="57"/>
      <c r="X9" s="57"/>
      <c r="Y9" s="57"/>
      <c r="Z9" s="57"/>
      <c r="AA9" s="57"/>
      <c r="AB9" s="57"/>
      <c r="AC9" s="57"/>
      <c r="AD9" s="57"/>
      <c r="AE9" s="57"/>
      <c r="AF9" s="57"/>
      <c r="AG9" s="57"/>
      <c r="AH9" s="57"/>
    </row>
    <row r="10" spans="1:34" x14ac:dyDescent="0.3">
      <c r="A10" s="59" t="s">
        <v>112</v>
      </c>
      <c r="B10" s="60">
        <f>((B6+B9)-B7)/(B11+B12)</f>
        <v>0.13820367745610312</v>
      </c>
      <c r="C10" s="57"/>
      <c r="D10" s="62" t="s">
        <v>122</v>
      </c>
      <c r="E10" s="62"/>
      <c r="F10" s="64">
        <f>B10</f>
        <v>0.13820367745610312</v>
      </c>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7"/>
      <c r="AH10" s="57"/>
    </row>
    <row r="11" spans="1:34" x14ac:dyDescent="0.3">
      <c r="A11" s="57" t="s">
        <v>115</v>
      </c>
      <c r="B11" s="58" cm="1">
        <f t="array" ref="B11">INDEX('Portfolio Value Tracker'!B11:AT11,1,COUNTA('Portfolio Value Tracker'!B11:AT11))</f>
        <v>2958.58</v>
      </c>
      <c r="C11" s="57"/>
      <c r="D11" s="57"/>
      <c r="E11" s="57"/>
      <c r="F11" s="57"/>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x14ac:dyDescent="0.3">
      <c r="A12" s="57" t="s">
        <v>116</v>
      </c>
      <c r="B12" s="58" cm="1">
        <f t="array" ref="B12">INDEX('Portfolio Value Tracker'!B12:AT12,1,COUNTA('Portfolio Value Tracker'!B12:AT12))</f>
        <v>1401.42</v>
      </c>
      <c r="C12" s="57"/>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row>
    <row r="13" spans="1:34" x14ac:dyDescent="0.3">
      <c r="A13" s="57"/>
      <c r="B13" s="57"/>
      <c r="C13" s="57"/>
      <c r="D13" s="57"/>
      <c r="E13" s="57"/>
      <c r="F13" s="57"/>
      <c r="G13" s="57"/>
      <c r="H13" s="57"/>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row>
    <row r="14" spans="1:34" x14ac:dyDescent="0.3">
      <c r="A14" s="57"/>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row>
    <row r="15" spans="1:34" x14ac:dyDescent="0.3">
      <c r="A15" s="57"/>
      <c r="B15" s="57"/>
      <c r="C15" s="57"/>
      <c r="D15" s="57"/>
      <c r="E15" s="57"/>
      <c r="F15" s="57"/>
      <c r="G15" s="57"/>
      <c r="H15" s="57"/>
      <c r="I15" s="57"/>
      <c r="J15" s="57"/>
      <c r="K15" s="57"/>
      <c r="L15" s="57"/>
      <c r="M15" s="57"/>
      <c r="N15" s="57"/>
      <c r="O15" s="57"/>
      <c r="P15" s="57"/>
      <c r="Q15" s="57"/>
      <c r="R15" s="57"/>
      <c r="S15" s="57"/>
      <c r="T15" s="57"/>
      <c r="U15" s="57"/>
      <c r="V15" s="57"/>
      <c r="W15" s="57"/>
      <c r="X15" s="57"/>
      <c r="Y15" s="57"/>
      <c r="Z15" s="57"/>
      <c r="AA15" s="57"/>
      <c r="AB15" s="57"/>
      <c r="AC15" s="57"/>
      <c r="AD15" s="57"/>
      <c r="AE15" s="57"/>
      <c r="AF15" s="57"/>
      <c r="AG15" s="57"/>
      <c r="AH15" s="57"/>
    </row>
    <row r="16" spans="1:34" x14ac:dyDescent="0.3">
      <c r="A16" s="57"/>
      <c r="B16" s="57"/>
      <c r="C16" s="57"/>
      <c r="D16" s="57"/>
      <c r="E16" s="57"/>
      <c r="F16" s="57"/>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row>
    <row r="17" spans="1:34" x14ac:dyDescent="0.3">
      <c r="A17" s="57"/>
      <c r="B17" s="57"/>
      <c r="C17" s="57"/>
      <c r="D17" s="57"/>
      <c r="E17" s="57"/>
      <c r="F17" s="57"/>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row>
    <row r="18" spans="1:34" x14ac:dyDescent="0.3">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row>
    <row r="19" spans="1:34" x14ac:dyDescent="0.3">
      <c r="A19" s="57"/>
      <c r="B19" s="57"/>
      <c r="C19" s="57"/>
      <c r="D19" s="57"/>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row>
    <row r="20" spans="1:34" x14ac:dyDescent="0.3">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row>
    <row r="21" spans="1:34" x14ac:dyDescent="0.3">
      <c r="A21" s="57"/>
      <c r="B21" s="57"/>
      <c r="C21" s="57"/>
      <c r="D21" s="57"/>
      <c r="E21" s="57" t="str">
        <f t="shared" ref="E21:E52" si="0">IF(A22="","",D21/C21)</f>
        <v/>
      </c>
      <c r="F21" s="57"/>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57"/>
      <c r="AG21" s="57"/>
      <c r="AH21" s="57"/>
    </row>
    <row r="22" spans="1:34" x14ac:dyDescent="0.3">
      <c r="A22" s="57"/>
      <c r="B22" s="57"/>
      <c r="C22" s="57"/>
      <c r="D22" s="57"/>
      <c r="E22" s="57" t="str">
        <f t="shared" si="0"/>
        <v/>
      </c>
      <c r="F22" s="57"/>
      <c r="G22" s="57"/>
      <c r="H22" s="57"/>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c r="AH22" s="57"/>
    </row>
    <row r="23" spans="1:34" x14ac:dyDescent="0.3">
      <c r="A23" s="57"/>
      <c r="B23" s="57"/>
      <c r="C23" s="57"/>
      <c r="D23" s="57"/>
      <c r="E23" s="57" t="str">
        <f t="shared" si="0"/>
        <v/>
      </c>
      <c r="F23" s="57"/>
      <c r="G23" s="57"/>
      <c r="H23" s="57"/>
      <c r="I23" s="57"/>
      <c r="J23" s="57"/>
      <c r="K23" s="57"/>
      <c r="L23" s="57"/>
      <c r="M23" s="57"/>
      <c r="N23" s="57"/>
      <c r="O23" s="57"/>
      <c r="P23" s="57"/>
      <c r="Q23" s="57"/>
      <c r="R23" s="57"/>
      <c r="S23" s="57"/>
      <c r="T23" s="57"/>
      <c r="U23" s="57"/>
      <c r="V23" s="57"/>
      <c r="W23" s="57"/>
      <c r="X23" s="57"/>
      <c r="Y23" s="57"/>
      <c r="Z23" s="57"/>
      <c r="AA23" s="57"/>
      <c r="AB23" s="57"/>
      <c r="AC23" s="57"/>
      <c r="AD23" s="57"/>
      <c r="AE23" s="57"/>
      <c r="AF23" s="57"/>
      <c r="AG23" s="57"/>
      <c r="AH23" s="57"/>
    </row>
    <row r="24" spans="1:34" x14ac:dyDescent="0.3">
      <c r="A24" s="57"/>
      <c r="B24" s="57"/>
      <c r="C24" s="57"/>
      <c r="D24" s="57"/>
      <c r="E24" s="57"/>
      <c r="F24" s="57"/>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57"/>
      <c r="AG24" s="57"/>
      <c r="AH24" s="57"/>
    </row>
    <row r="25" spans="1:34" x14ac:dyDescent="0.3">
      <c r="A25" s="57"/>
      <c r="B25" s="57"/>
      <c r="C25" s="57"/>
      <c r="D25" s="57"/>
      <c r="E25" s="57" t="str">
        <f t="shared" si="0"/>
        <v/>
      </c>
      <c r="F25" s="57"/>
      <c r="G25" s="57"/>
      <c r="H25" s="57"/>
      <c r="I25" s="57"/>
      <c r="J25" s="57"/>
      <c r="K25" s="57"/>
      <c r="L25" s="57"/>
      <c r="M25" s="57"/>
      <c r="N25" s="57"/>
      <c r="O25" s="57"/>
      <c r="P25" s="57"/>
      <c r="Q25" s="57"/>
      <c r="R25" s="57"/>
      <c r="S25" s="57"/>
      <c r="T25" s="57"/>
      <c r="U25" s="57"/>
      <c r="V25" s="57"/>
      <c r="W25" s="57"/>
      <c r="X25" s="57"/>
      <c r="Y25" s="57"/>
      <c r="Z25" s="57"/>
      <c r="AA25" s="57"/>
      <c r="AB25" s="57"/>
      <c r="AC25" s="57"/>
      <c r="AD25" s="57"/>
      <c r="AE25" s="57"/>
      <c r="AF25" s="57"/>
      <c r="AG25" s="57"/>
      <c r="AH25" s="57"/>
    </row>
    <row r="26" spans="1:34" x14ac:dyDescent="0.3">
      <c r="A26" s="57"/>
      <c r="B26" s="57"/>
      <c r="C26" s="57"/>
      <c r="D26" s="57"/>
      <c r="E26" s="57" t="str">
        <f t="shared" si="0"/>
        <v/>
      </c>
      <c r="F26" s="57"/>
      <c r="G26" s="57"/>
      <c r="H26" s="57"/>
      <c r="I26" s="57"/>
      <c r="J26" s="57"/>
      <c r="K26" s="57"/>
      <c r="L26" s="57"/>
      <c r="M26" s="57"/>
      <c r="N26" s="57"/>
      <c r="O26" s="57"/>
      <c r="P26" s="57"/>
      <c r="Q26" s="57"/>
      <c r="R26" s="57"/>
      <c r="S26" s="57"/>
      <c r="T26" s="57"/>
      <c r="U26" s="57"/>
      <c r="V26" s="57"/>
      <c r="W26" s="57"/>
      <c r="X26" s="57"/>
      <c r="Y26" s="57"/>
      <c r="Z26" s="57"/>
      <c r="AA26" s="57"/>
      <c r="AB26" s="57"/>
      <c r="AC26" s="57"/>
      <c r="AD26" s="57"/>
      <c r="AE26" s="57"/>
      <c r="AF26" s="57"/>
      <c r="AG26" s="57"/>
      <c r="AH26" s="57"/>
    </row>
    <row r="27" spans="1:34" x14ac:dyDescent="0.3">
      <c r="A27" s="57"/>
      <c r="B27" s="57"/>
      <c r="C27" s="57"/>
      <c r="D27" s="57"/>
      <c r="E27" s="57" t="str">
        <f t="shared" si="0"/>
        <v/>
      </c>
      <c r="F27" s="57"/>
      <c r="G27" s="57"/>
      <c r="H27" s="57"/>
      <c r="I27" s="57"/>
      <c r="J27" s="57"/>
      <c r="K27" s="57"/>
      <c r="L27" s="57"/>
      <c r="M27" s="57"/>
      <c r="N27" s="57"/>
      <c r="O27" s="57"/>
      <c r="P27" s="57"/>
      <c r="Q27" s="57"/>
      <c r="R27" s="57"/>
      <c r="S27" s="57"/>
      <c r="T27" s="57"/>
      <c r="U27" s="57"/>
      <c r="V27" s="57"/>
      <c r="W27" s="57"/>
      <c r="X27" s="57"/>
      <c r="Y27" s="57"/>
      <c r="Z27" s="57"/>
      <c r="AA27" s="57"/>
      <c r="AB27" s="57"/>
      <c r="AC27" s="57"/>
      <c r="AD27" s="57"/>
      <c r="AE27" s="57"/>
      <c r="AF27" s="57"/>
      <c r="AG27" s="57"/>
      <c r="AH27" s="57"/>
    </row>
    <row r="28" spans="1:34" x14ac:dyDescent="0.3">
      <c r="A28" s="57"/>
      <c r="B28" s="57"/>
      <c r="C28" s="57"/>
      <c r="D28" s="57"/>
      <c r="E28" s="57" t="str">
        <f t="shared" si="0"/>
        <v/>
      </c>
      <c r="F28" s="57"/>
      <c r="G28" s="57"/>
      <c r="H28" s="57"/>
      <c r="I28" s="57"/>
      <c r="J28" s="57"/>
      <c r="K28" s="57"/>
      <c r="L28" s="57"/>
      <c r="M28" s="57"/>
      <c r="N28" s="57"/>
      <c r="O28" s="57"/>
      <c r="P28" s="57"/>
      <c r="Q28" s="57"/>
      <c r="R28" s="57"/>
      <c r="S28" s="57"/>
      <c r="T28" s="57"/>
      <c r="U28" s="57"/>
      <c r="V28" s="57"/>
      <c r="W28" s="57"/>
      <c r="X28" s="57"/>
      <c r="Y28" s="57"/>
      <c r="Z28" s="57"/>
      <c r="AA28" s="57"/>
      <c r="AB28" s="57"/>
      <c r="AC28" s="57"/>
      <c r="AD28" s="57"/>
      <c r="AE28" s="57"/>
      <c r="AF28" s="57"/>
      <c r="AG28" s="57"/>
      <c r="AH28" s="57"/>
    </row>
    <row r="29" spans="1:34" x14ac:dyDescent="0.3">
      <c r="A29" s="57"/>
      <c r="B29" s="57"/>
      <c r="C29" s="57"/>
      <c r="D29" s="57"/>
      <c r="E29" s="57" t="str">
        <f t="shared" si="0"/>
        <v/>
      </c>
      <c r="F29" s="57"/>
      <c r="G29" s="57"/>
      <c r="H29" s="57"/>
      <c r="I29" s="57"/>
      <c r="J29" s="57"/>
      <c r="K29" s="57"/>
      <c r="L29" s="57"/>
      <c r="M29" s="57"/>
      <c r="N29" s="57"/>
      <c r="O29" s="57"/>
      <c r="P29" s="57"/>
      <c r="Q29" s="57"/>
      <c r="R29" s="57"/>
      <c r="S29" s="57"/>
      <c r="T29" s="57"/>
      <c r="U29" s="57"/>
      <c r="V29" s="57"/>
      <c r="W29" s="57"/>
      <c r="X29" s="57"/>
      <c r="Y29" s="57"/>
      <c r="Z29" s="57"/>
      <c r="AA29" s="57"/>
      <c r="AB29" s="57"/>
      <c r="AC29" s="57"/>
      <c r="AD29" s="57"/>
      <c r="AE29" s="57"/>
      <c r="AF29" s="57"/>
      <c r="AG29" s="57"/>
      <c r="AH29" s="57"/>
    </row>
    <row r="30" spans="1:34" x14ac:dyDescent="0.3">
      <c r="A30" s="57"/>
      <c r="B30" s="57"/>
      <c r="C30" s="57"/>
      <c r="D30" s="57"/>
      <c r="E30" s="57" t="str">
        <f t="shared" si="0"/>
        <v/>
      </c>
      <c r="F30" s="57"/>
      <c r="G30" s="57"/>
      <c r="H30" s="57"/>
      <c r="I30" s="57"/>
      <c r="J30" s="57"/>
      <c r="K30" s="57"/>
      <c r="L30" s="57"/>
      <c r="M30" s="57"/>
      <c r="N30" s="57"/>
      <c r="O30" s="57"/>
      <c r="P30" s="57"/>
      <c r="Q30" s="57"/>
      <c r="R30" s="57"/>
      <c r="S30" s="57"/>
      <c r="T30" s="57"/>
      <c r="U30" s="57"/>
      <c r="V30" s="57"/>
      <c r="W30" s="57"/>
      <c r="X30" s="57"/>
      <c r="Y30" s="57"/>
      <c r="Z30" s="57"/>
      <c r="AA30" s="57"/>
      <c r="AB30" s="57"/>
      <c r="AC30" s="57"/>
      <c r="AD30" s="57"/>
      <c r="AE30" s="57"/>
      <c r="AF30" s="57"/>
      <c r="AG30" s="57"/>
      <c r="AH30" s="57"/>
    </row>
    <row r="31" spans="1:34" x14ac:dyDescent="0.3">
      <c r="A31" s="57"/>
      <c r="B31" s="57"/>
      <c r="C31" s="57"/>
      <c r="D31" s="57"/>
      <c r="E31" s="57" t="str">
        <f t="shared" si="0"/>
        <v/>
      </c>
      <c r="F31" s="57"/>
      <c r="G31" s="57"/>
      <c r="H31" s="57"/>
      <c r="I31" s="57"/>
      <c r="J31" s="57"/>
      <c r="K31" s="57"/>
      <c r="L31" s="57"/>
      <c r="M31" s="57"/>
      <c r="N31" s="57"/>
      <c r="O31" s="57"/>
      <c r="P31" s="57"/>
      <c r="Q31" s="57"/>
      <c r="R31" s="57"/>
      <c r="S31" s="57"/>
      <c r="T31" s="57"/>
      <c r="U31" s="57"/>
      <c r="V31" s="57"/>
      <c r="W31" s="57"/>
      <c r="X31" s="57"/>
      <c r="Y31" s="57"/>
      <c r="Z31" s="57"/>
      <c r="AA31" s="57"/>
      <c r="AB31" s="57"/>
      <c r="AC31" s="57"/>
      <c r="AD31" s="57"/>
      <c r="AE31" s="57"/>
      <c r="AF31" s="57"/>
      <c r="AG31" s="57"/>
      <c r="AH31" s="57"/>
    </row>
    <row r="32" spans="1:34" x14ac:dyDescent="0.3">
      <c r="A32" s="57"/>
      <c r="B32" s="57"/>
      <c r="C32" s="57"/>
      <c r="D32" s="57"/>
      <c r="E32" s="57" t="str">
        <f t="shared" si="0"/>
        <v/>
      </c>
      <c r="F32" s="57"/>
      <c r="G32" s="57"/>
      <c r="H32" s="57"/>
      <c r="I32" s="57"/>
      <c r="J32" s="57"/>
      <c r="K32" s="57"/>
      <c r="L32" s="57"/>
      <c r="M32" s="57"/>
      <c r="N32" s="57"/>
      <c r="O32" s="57"/>
      <c r="P32" s="57"/>
      <c r="Q32" s="57"/>
      <c r="R32" s="57"/>
      <c r="S32" s="57"/>
      <c r="T32" s="57"/>
      <c r="U32" s="57"/>
      <c r="V32" s="57"/>
      <c r="W32" s="57"/>
      <c r="X32" s="57"/>
      <c r="Y32" s="57"/>
      <c r="Z32" s="57"/>
      <c r="AA32" s="57"/>
      <c r="AB32" s="57"/>
      <c r="AC32" s="57"/>
      <c r="AD32" s="57"/>
      <c r="AE32" s="57"/>
      <c r="AF32" s="57"/>
      <c r="AG32" s="57"/>
      <c r="AH32" s="57"/>
    </row>
    <row r="33" spans="1:34" x14ac:dyDescent="0.3">
      <c r="A33" s="57"/>
      <c r="B33" s="57"/>
      <c r="C33" s="57"/>
      <c r="D33" s="57"/>
      <c r="E33" s="57" t="str">
        <f t="shared" si="0"/>
        <v/>
      </c>
      <c r="F33" s="57"/>
      <c r="G33" s="57"/>
      <c r="H33" s="57"/>
      <c r="I33" s="57"/>
      <c r="J33" s="57"/>
      <c r="K33" s="57"/>
      <c r="L33" s="57"/>
      <c r="M33" s="57"/>
      <c r="N33" s="57"/>
      <c r="O33" s="57"/>
      <c r="P33" s="57"/>
      <c r="Q33" s="57"/>
      <c r="R33" s="57"/>
      <c r="S33" s="57"/>
      <c r="T33" s="57"/>
      <c r="U33" s="57"/>
      <c r="V33" s="57"/>
      <c r="W33" s="57"/>
      <c r="X33" s="57"/>
      <c r="Y33" s="57"/>
      <c r="Z33" s="57"/>
      <c r="AA33" s="57"/>
      <c r="AB33" s="57"/>
      <c r="AC33" s="57"/>
      <c r="AD33" s="57"/>
      <c r="AE33" s="57"/>
      <c r="AF33" s="57"/>
      <c r="AG33" s="57"/>
      <c r="AH33" s="57"/>
    </row>
    <row r="34" spans="1:34" x14ac:dyDescent="0.3">
      <c r="A34" s="57"/>
      <c r="B34" s="57"/>
      <c r="C34" s="57"/>
      <c r="D34" s="57"/>
      <c r="E34" s="57" t="str">
        <f t="shared" si="0"/>
        <v/>
      </c>
      <c r="F34" s="57"/>
      <c r="G34" s="57"/>
      <c r="H34" s="57"/>
      <c r="I34" s="57"/>
      <c r="J34" s="57"/>
      <c r="K34" s="57"/>
      <c r="L34" s="57"/>
      <c r="M34" s="57"/>
      <c r="N34" s="57"/>
      <c r="O34" s="57"/>
      <c r="P34" s="57"/>
      <c r="Q34" s="57"/>
      <c r="R34" s="57"/>
      <c r="S34" s="57"/>
      <c r="T34" s="57"/>
      <c r="U34" s="57"/>
      <c r="V34" s="57"/>
      <c r="W34" s="57"/>
      <c r="X34" s="57"/>
      <c r="Y34" s="57"/>
      <c r="Z34" s="57"/>
      <c r="AA34" s="57"/>
      <c r="AB34" s="57"/>
      <c r="AC34" s="57"/>
      <c r="AD34" s="57"/>
      <c r="AE34" s="57"/>
      <c r="AF34" s="57"/>
      <c r="AG34" s="57"/>
      <c r="AH34" s="57"/>
    </row>
    <row r="35" spans="1:34" x14ac:dyDescent="0.3">
      <c r="A35" s="57"/>
      <c r="B35" s="57"/>
      <c r="C35" s="57"/>
      <c r="D35" s="57"/>
      <c r="E35" s="57" t="str">
        <f t="shared" si="0"/>
        <v/>
      </c>
      <c r="F35" s="57"/>
      <c r="G35" s="57"/>
      <c r="H35" s="57"/>
      <c r="I35" s="57"/>
      <c r="J35" s="57"/>
      <c r="K35" s="57"/>
      <c r="L35" s="57"/>
      <c r="M35" s="57"/>
      <c r="N35" s="57"/>
      <c r="O35" s="57"/>
      <c r="P35" s="57"/>
      <c r="Q35" s="57"/>
      <c r="R35" s="57"/>
      <c r="S35" s="57"/>
      <c r="T35" s="57"/>
      <c r="U35" s="57"/>
      <c r="V35" s="57"/>
      <c r="W35" s="57"/>
      <c r="X35" s="57"/>
      <c r="Y35" s="57"/>
      <c r="Z35" s="57"/>
      <c r="AA35" s="57"/>
      <c r="AB35" s="57"/>
      <c r="AC35" s="57"/>
      <c r="AD35" s="57"/>
      <c r="AE35" s="57"/>
      <c r="AF35" s="57"/>
      <c r="AG35" s="57"/>
      <c r="AH35" s="57"/>
    </row>
    <row r="36" spans="1:34" x14ac:dyDescent="0.3">
      <c r="A36" s="57"/>
      <c r="B36" s="57"/>
      <c r="C36" s="57"/>
      <c r="D36" s="57"/>
      <c r="E36" s="57" t="str">
        <f t="shared" si="0"/>
        <v/>
      </c>
      <c r="F36" s="57"/>
      <c r="G36" s="57"/>
      <c r="H36" s="57"/>
      <c r="I36" s="57"/>
      <c r="J36" s="57"/>
      <c r="K36" s="57"/>
      <c r="L36" s="57"/>
      <c r="M36" s="57"/>
      <c r="N36" s="57"/>
      <c r="O36" s="57"/>
      <c r="P36" s="57"/>
      <c r="Q36" s="57"/>
      <c r="R36" s="57"/>
      <c r="S36" s="57"/>
      <c r="T36" s="57"/>
      <c r="U36" s="57"/>
      <c r="V36" s="57"/>
      <c r="W36" s="57"/>
      <c r="X36" s="57"/>
      <c r="Y36" s="57"/>
      <c r="Z36" s="57"/>
      <c r="AA36" s="57"/>
      <c r="AB36" s="57"/>
      <c r="AC36" s="57"/>
      <c r="AD36" s="57"/>
      <c r="AE36" s="57"/>
      <c r="AF36" s="57"/>
      <c r="AG36" s="57"/>
      <c r="AH36" s="57"/>
    </row>
    <row r="37" spans="1:34" x14ac:dyDescent="0.3">
      <c r="A37" s="57"/>
      <c r="B37" s="57"/>
      <c r="C37" s="57"/>
      <c r="D37" s="57"/>
      <c r="E37" s="57" t="str">
        <f t="shared" si="0"/>
        <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row>
    <row r="38" spans="1:34" x14ac:dyDescent="0.3">
      <c r="A38" s="57"/>
      <c r="B38" s="57"/>
      <c r="C38" s="57"/>
      <c r="D38" s="57"/>
      <c r="E38" s="57" t="str">
        <f t="shared" si="0"/>
        <v/>
      </c>
      <c r="F38" s="57"/>
      <c r="G38" s="57"/>
      <c r="H38" s="57"/>
      <c r="I38" s="57"/>
      <c r="J38" s="57"/>
      <c r="K38" s="57"/>
      <c r="L38" s="57"/>
      <c r="M38" s="57"/>
      <c r="N38" s="57"/>
      <c r="O38" s="57"/>
      <c r="P38" s="57"/>
      <c r="Q38" s="57"/>
      <c r="R38" s="57"/>
      <c r="S38" s="57"/>
      <c r="T38" s="57"/>
      <c r="U38" s="57"/>
      <c r="V38" s="57"/>
      <c r="W38" s="57"/>
      <c r="X38" s="57"/>
      <c r="Y38" s="57"/>
      <c r="Z38" s="57"/>
      <c r="AA38" s="57"/>
      <c r="AB38" s="57"/>
      <c r="AC38" s="57"/>
      <c r="AD38" s="57"/>
      <c r="AE38" s="57"/>
      <c r="AF38" s="57"/>
      <c r="AG38" s="57"/>
      <c r="AH38" s="57"/>
    </row>
    <row r="39" spans="1:34" x14ac:dyDescent="0.3">
      <c r="A39" s="57"/>
      <c r="B39" s="57"/>
      <c r="C39" s="57"/>
      <c r="D39" s="57"/>
      <c r="E39" s="57" t="str">
        <f t="shared" si="0"/>
        <v/>
      </c>
      <c r="F39" s="57"/>
      <c r="G39" s="57"/>
      <c r="H39" s="57"/>
      <c r="I39" s="57"/>
      <c r="J39" s="57"/>
      <c r="K39" s="57"/>
      <c r="L39" s="57"/>
      <c r="M39" s="57"/>
      <c r="N39" s="57"/>
      <c r="O39" s="57"/>
      <c r="P39" s="57"/>
      <c r="Q39" s="57"/>
      <c r="R39" s="57"/>
      <c r="S39" s="57"/>
      <c r="T39" s="57"/>
      <c r="U39" s="57"/>
      <c r="V39" s="57"/>
      <c r="W39" s="57"/>
      <c r="X39" s="57"/>
      <c r="Y39" s="57"/>
      <c r="Z39" s="57"/>
      <c r="AA39" s="57"/>
      <c r="AB39" s="57"/>
      <c r="AC39" s="57"/>
      <c r="AD39" s="57"/>
      <c r="AE39" s="57"/>
      <c r="AF39" s="57"/>
      <c r="AG39" s="57"/>
      <c r="AH39" s="57"/>
    </row>
    <row r="40" spans="1:34" x14ac:dyDescent="0.3">
      <c r="A40" s="57"/>
      <c r="B40" s="57"/>
      <c r="C40" s="57"/>
      <c r="D40" s="57"/>
      <c r="E40" s="57" t="str">
        <f t="shared" si="0"/>
        <v/>
      </c>
      <c r="F40" s="57"/>
      <c r="G40" s="57"/>
      <c r="H40" s="57"/>
      <c r="I40" s="57"/>
      <c r="J40" s="57"/>
      <c r="K40" s="57"/>
      <c r="L40" s="57"/>
      <c r="M40" s="57"/>
      <c r="N40" s="57"/>
      <c r="O40" s="57"/>
      <c r="P40" s="57"/>
      <c r="Q40" s="57"/>
      <c r="R40" s="57"/>
      <c r="S40" s="57"/>
      <c r="T40" s="57"/>
      <c r="U40" s="57"/>
      <c r="V40" s="57"/>
      <c r="W40" s="57"/>
      <c r="X40" s="57"/>
      <c r="Y40" s="57"/>
      <c r="Z40" s="57"/>
      <c r="AA40" s="57"/>
      <c r="AB40" s="57"/>
      <c r="AC40" s="57"/>
      <c r="AD40" s="57"/>
      <c r="AE40" s="57"/>
      <c r="AF40" s="57"/>
      <c r="AG40" s="57"/>
      <c r="AH40" s="57"/>
    </row>
    <row r="41" spans="1:34" x14ac:dyDescent="0.3">
      <c r="A41" s="57"/>
      <c r="B41" s="57"/>
      <c r="C41" s="57"/>
      <c r="D41" s="57"/>
      <c r="E41" s="57" t="str">
        <f t="shared" si="0"/>
        <v/>
      </c>
      <c r="F41" s="57"/>
      <c r="G41" s="57"/>
      <c r="H41" s="57"/>
      <c r="I41" s="57"/>
      <c r="J41" s="57"/>
      <c r="K41" s="57"/>
      <c r="L41" s="57"/>
      <c r="M41" s="57"/>
      <c r="N41" s="57"/>
      <c r="O41" s="57"/>
      <c r="P41" s="57"/>
      <c r="Q41" s="57"/>
      <c r="R41" s="57"/>
      <c r="S41" s="57"/>
      <c r="T41" s="57"/>
      <c r="U41" s="57"/>
      <c r="V41" s="57"/>
      <c r="W41" s="57"/>
      <c r="X41" s="57"/>
      <c r="Y41" s="57"/>
      <c r="Z41" s="57"/>
      <c r="AA41" s="57"/>
      <c r="AB41" s="57"/>
      <c r="AC41" s="57"/>
      <c r="AD41" s="57"/>
      <c r="AE41" s="57"/>
      <c r="AF41" s="57"/>
      <c r="AG41" s="57"/>
      <c r="AH41" s="57"/>
    </row>
    <row r="42" spans="1:34" x14ac:dyDescent="0.3">
      <c r="A42" s="57"/>
      <c r="B42" s="57"/>
      <c r="C42" s="57"/>
      <c r="D42" s="57"/>
      <c r="E42" s="57" t="str">
        <f t="shared" si="0"/>
        <v/>
      </c>
      <c r="F42" s="57"/>
      <c r="G42" s="57"/>
      <c r="H42" s="57"/>
      <c r="I42" s="57"/>
      <c r="J42" s="57"/>
      <c r="K42" s="57"/>
      <c r="L42" s="57"/>
      <c r="M42" s="57"/>
      <c r="N42" s="57"/>
      <c r="O42" s="57"/>
      <c r="P42" s="57"/>
      <c r="Q42" s="57"/>
      <c r="R42" s="57"/>
      <c r="S42" s="57"/>
      <c r="T42" s="57"/>
      <c r="U42" s="57"/>
      <c r="V42" s="57"/>
      <c r="W42" s="57"/>
      <c r="X42" s="57"/>
      <c r="Y42" s="57"/>
      <c r="Z42" s="57"/>
      <c r="AA42" s="57"/>
      <c r="AB42" s="57"/>
      <c r="AC42" s="57"/>
      <c r="AD42" s="57"/>
      <c r="AE42" s="57"/>
      <c r="AF42" s="57"/>
      <c r="AG42" s="57"/>
      <c r="AH42" s="57"/>
    </row>
    <row r="43" spans="1:34" x14ac:dyDescent="0.3">
      <c r="A43" s="57"/>
      <c r="B43" s="57"/>
      <c r="C43" s="57"/>
      <c r="D43" s="57"/>
      <c r="E43" s="57" t="str">
        <f t="shared" si="0"/>
        <v/>
      </c>
      <c r="F43" s="57"/>
      <c r="G43" s="57"/>
      <c r="H43" s="57"/>
      <c r="I43" s="57"/>
      <c r="J43" s="57"/>
      <c r="K43" s="57"/>
      <c r="L43" s="57"/>
      <c r="M43" s="57"/>
      <c r="N43" s="57"/>
      <c r="O43" s="57"/>
      <c r="P43" s="57"/>
      <c r="Q43" s="57"/>
      <c r="R43" s="57"/>
      <c r="S43" s="57"/>
      <c r="T43" s="57"/>
      <c r="U43" s="57"/>
      <c r="V43" s="57"/>
      <c r="W43" s="57"/>
      <c r="X43" s="57"/>
      <c r="Y43" s="57"/>
      <c r="Z43" s="57"/>
      <c r="AA43" s="57"/>
      <c r="AB43" s="57"/>
      <c r="AC43" s="57"/>
      <c r="AD43" s="57"/>
      <c r="AE43" s="57"/>
      <c r="AF43" s="57"/>
      <c r="AG43" s="57"/>
      <c r="AH43" s="57"/>
    </row>
    <row r="44" spans="1:34" x14ac:dyDescent="0.3">
      <c r="A44" s="57"/>
      <c r="B44" s="57"/>
      <c r="C44" s="57"/>
      <c r="D44" s="57"/>
      <c r="E44" s="57" t="str">
        <f t="shared" si="0"/>
        <v/>
      </c>
      <c r="F44" s="57"/>
      <c r="G44" s="57"/>
      <c r="H44" s="57"/>
      <c r="I44" s="57"/>
      <c r="J44" s="57"/>
      <c r="K44" s="57"/>
      <c r="L44" s="57"/>
      <c r="M44" s="57"/>
      <c r="N44" s="57"/>
      <c r="O44" s="57"/>
      <c r="P44" s="57"/>
      <c r="Q44" s="57"/>
      <c r="R44" s="57"/>
      <c r="S44" s="57"/>
      <c r="T44" s="57"/>
      <c r="U44" s="57"/>
      <c r="V44" s="57"/>
      <c r="W44" s="57"/>
      <c r="X44" s="57"/>
      <c r="Y44" s="57"/>
      <c r="Z44" s="57"/>
      <c r="AA44" s="57"/>
      <c r="AB44" s="57"/>
      <c r="AC44" s="57"/>
      <c r="AD44" s="57"/>
      <c r="AE44" s="57"/>
      <c r="AF44" s="57"/>
      <c r="AG44" s="57"/>
      <c r="AH44" s="57"/>
    </row>
    <row r="45" spans="1:34" x14ac:dyDescent="0.3">
      <c r="A45" s="57"/>
      <c r="B45" s="57"/>
      <c r="C45" s="57"/>
      <c r="D45" s="57"/>
      <c r="E45" s="57" t="str">
        <f t="shared" si="0"/>
        <v/>
      </c>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row>
    <row r="46" spans="1:34" x14ac:dyDescent="0.3">
      <c r="A46" s="57"/>
      <c r="B46" s="57"/>
      <c r="C46" s="57"/>
      <c r="D46" s="57"/>
      <c r="E46" s="57" t="str">
        <f t="shared" si="0"/>
        <v/>
      </c>
      <c r="F46" s="57"/>
      <c r="G46" s="57"/>
      <c r="H46" s="57"/>
      <c r="I46" s="57"/>
      <c r="J46" s="57"/>
      <c r="K46" s="57"/>
      <c r="L46" s="57"/>
      <c r="M46" s="57"/>
      <c r="N46" s="57"/>
      <c r="O46" s="57"/>
      <c r="P46" s="57"/>
      <c r="Q46" s="57"/>
      <c r="R46" s="57"/>
      <c r="S46" s="57"/>
      <c r="T46" s="57"/>
      <c r="U46" s="57"/>
      <c r="V46" s="57"/>
      <c r="W46" s="57"/>
      <c r="X46" s="57"/>
      <c r="Y46" s="57"/>
      <c r="Z46" s="57"/>
      <c r="AA46" s="57"/>
      <c r="AB46" s="57"/>
      <c r="AC46" s="57"/>
      <c r="AD46" s="57"/>
      <c r="AE46" s="57"/>
      <c r="AF46" s="57"/>
      <c r="AG46" s="57"/>
      <c r="AH46" s="57"/>
    </row>
    <row r="47" spans="1:34" x14ac:dyDescent="0.3">
      <c r="A47" s="57"/>
      <c r="B47" s="57"/>
      <c r="C47" s="57"/>
      <c r="D47" s="57"/>
      <c r="E47" s="57" t="str">
        <f t="shared" si="0"/>
        <v/>
      </c>
      <c r="F47" s="57"/>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c r="AF47" s="57"/>
      <c r="AG47" s="57"/>
      <c r="AH47" s="57"/>
    </row>
    <row r="48" spans="1:34" x14ac:dyDescent="0.3">
      <c r="A48" s="57"/>
      <c r="B48" s="57"/>
      <c r="C48" s="57"/>
      <c r="D48" s="57"/>
      <c r="E48" s="57" t="str">
        <f t="shared" si="0"/>
        <v/>
      </c>
      <c r="F48" s="57"/>
      <c r="G48" s="57"/>
      <c r="H48" s="57"/>
      <c r="I48" s="57"/>
      <c r="J48" s="57"/>
      <c r="K48" s="57"/>
      <c r="L48" s="57"/>
      <c r="M48" s="57"/>
      <c r="N48" s="57"/>
      <c r="O48" s="57"/>
      <c r="P48" s="57"/>
      <c r="Q48" s="57"/>
      <c r="R48" s="57"/>
      <c r="S48" s="57"/>
      <c r="T48" s="57"/>
      <c r="U48" s="57"/>
      <c r="V48" s="57"/>
      <c r="W48" s="57"/>
      <c r="X48" s="57"/>
      <c r="Y48" s="57"/>
      <c r="Z48" s="57"/>
      <c r="AA48" s="57"/>
      <c r="AB48" s="57"/>
      <c r="AC48" s="57"/>
      <c r="AD48" s="57"/>
      <c r="AE48" s="57"/>
      <c r="AF48" s="57"/>
      <c r="AG48" s="57"/>
      <c r="AH48" s="57"/>
    </row>
    <row r="49" spans="1:34" x14ac:dyDescent="0.3">
      <c r="A49" s="57"/>
      <c r="B49" s="57"/>
      <c r="C49" s="57"/>
      <c r="D49" s="57"/>
      <c r="E49" s="57" t="str">
        <f t="shared" si="0"/>
        <v/>
      </c>
      <c r="F49" s="57"/>
      <c r="G49" s="57"/>
      <c r="H49" s="57"/>
      <c r="I49" s="57"/>
      <c r="J49" s="57"/>
      <c r="K49" s="57"/>
      <c r="L49" s="57"/>
      <c r="M49" s="57"/>
      <c r="N49" s="57"/>
      <c r="O49" s="57"/>
      <c r="P49" s="57"/>
      <c r="Q49" s="57"/>
      <c r="R49" s="57"/>
      <c r="S49" s="57"/>
      <c r="T49" s="57"/>
      <c r="U49" s="57"/>
      <c r="V49" s="57"/>
      <c r="W49" s="57"/>
      <c r="X49" s="57"/>
      <c r="Y49" s="57"/>
      <c r="Z49" s="57"/>
      <c r="AA49" s="57"/>
      <c r="AB49" s="57"/>
      <c r="AC49" s="57"/>
      <c r="AD49" s="57"/>
      <c r="AE49" s="57"/>
      <c r="AF49" s="57"/>
      <c r="AG49" s="57"/>
      <c r="AH49" s="57"/>
    </row>
    <row r="50" spans="1:34" x14ac:dyDescent="0.3">
      <c r="A50" s="57"/>
      <c r="B50" s="57"/>
      <c r="C50" s="57"/>
      <c r="D50" s="57"/>
      <c r="E50" s="57" t="str">
        <f t="shared" si="0"/>
        <v/>
      </c>
      <c r="F50" s="57"/>
      <c r="G50" s="57"/>
      <c r="H50" s="57"/>
      <c r="I50" s="57"/>
      <c r="J50" s="57"/>
      <c r="K50" s="57"/>
      <c r="L50" s="57"/>
      <c r="M50" s="57"/>
      <c r="N50" s="57"/>
      <c r="O50" s="57"/>
      <c r="P50" s="57"/>
      <c r="Q50" s="57"/>
      <c r="R50" s="57"/>
      <c r="S50" s="57"/>
      <c r="T50" s="57"/>
      <c r="U50" s="57"/>
      <c r="V50" s="57"/>
      <c r="W50" s="57"/>
      <c r="X50" s="57"/>
      <c r="Y50" s="57"/>
      <c r="Z50" s="57"/>
      <c r="AA50" s="57"/>
      <c r="AB50" s="57"/>
      <c r="AC50" s="57"/>
      <c r="AD50" s="57"/>
      <c r="AE50" s="57"/>
      <c r="AF50" s="57"/>
      <c r="AG50" s="57"/>
      <c r="AH50" s="57"/>
    </row>
    <row r="51" spans="1:34" x14ac:dyDescent="0.3">
      <c r="A51" s="57"/>
      <c r="B51" s="57"/>
      <c r="C51" s="57"/>
      <c r="D51" s="57"/>
      <c r="E51" s="57" t="str">
        <f t="shared" si="0"/>
        <v/>
      </c>
      <c r="F51" s="57"/>
      <c r="G51" s="57"/>
      <c r="H51" s="57"/>
      <c r="I51" s="57"/>
      <c r="J51" s="57"/>
      <c r="K51" s="57"/>
      <c r="L51" s="57"/>
      <c r="M51" s="57"/>
      <c r="N51" s="57"/>
      <c r="O51" s="57"/>
      <c r="P51" s="57"/>
      <c r="Q51" s="57"/>
      <c r="R51" s="57"/>
      <c r="S51" s="57"/>
      <c r="T51" s="57"/>
      <c r="U51" s="57"/>
      <c r="V51" s="57"/>
      <c r="W51" s="57"/>
      <c r="X51" s="57"/>
      <c r="Y51" s="57"/>
      <c r="Z51" s="57"/>
      <c r="AA51" s="57"/>
      <c r="AB51" s="57"/>
      <c r="AC51" s="57"/>
      <c r="AD51" s="57"/>
      <c r="AE51" s="57"/>
      <c r="AF51" s="57"/>
      <c r="AG51" s="57"/>
      <c r="AH51" s="57"/>
    </row>
    <row r="52" spans="1:34" x14ac:dyDescent="0.3">
      <c r="A52" s="57"/>
      <c r="B52" s="57"/>
      <c r="C52" s="57"/>
      <c r="D52" s="57"/>
      <c r="E52" s="57" t="str">
        <f t="shared" si="0"/>
        <v/>
      </c>
      <c r="F52" s="57"/>
      <c r="G52" s="57"/>
      <c r="H52" s="57"/>
      <c r="I52" s="57"/>
      <c r="J52" s="57"/>
      <c r="K52" s="57"/>
      <c r="L52" s="57"/>
      <c r="M52" s="57"/>
      <c r="N52" s="57"/>
      <c r="O52" s="57"/>
      <c r="P52" s="57"/>
      <c r="Q52" s="57"/>
      <c r="R52" s="57"/>
      <c r="S52" s="57"/>
      <c r="T52" s="57"/>
      <c r="U52" s="57"/>
      <c r="V52" s="57"/>
      <c r="W52" s="57"/>
      <c r="X52" s="57"/>
      <c r="Y52" s="57"/>
      <c r="Z52" s="57"/>
      <c r="AA52" s="57"/>
      <c r="AB52" s="57"/>
      <c r="AC52" s="57"/>
      <c r="AD52" s="57"/>
      <c r="AE52" s="57"/>
      <c r="AF52" s="57"/>
      <c r="AG52" s="57"/>
      <c r="AH52" s="57"/>
    </row>
    <row r="53" spans="1:34" x14ac:dyDescent="0.3">
      <c r="A53" s="57"/>
      <c r="B53" s="57"/>
      <c r="C53" s="57"/>
      <c r="D53" s="57"/>
      <c r="E53" s="57" t="str">
        <f t="shared" ref="E53:E84" si="1">IF(A54="","",D53/C53)</f>
        <v/>
      </c>
      <c r="F53" s="57"/>
      <c r="G53" s="57"/>
      <c r="H53" s="57"/>
      <c r="I53" s="57"/>
      <c r="J53" s="57"/>
      <c r="K53" s="57"/>
      <c r="L53" s="57"/>
      <c r="M53" s="57"/>
      <c r="N53" s="57"/>
      <c r="O53" s="57"/>
      <c r="P53" s="57"/>
      <c r="Q53" s="57"/>
      <c r="R53" s="57"/>
      <c r="S53" s="57"/>
      <c r="T53" s="57"/>
      <c r="U53" s="57"/>
      <c r="V53" s="57"/>
      <c r="W53" s="57"/>
      <c r="X53" s="57"/>
      <c r="Y53" s="57"/>
      <c r="Z53" s="57"/>
      <c r="AA53" s="57"/>
      <c r="AB53" s="57"/>
      <c r="AC53" s="57"/>
      <c r="AD53" s="57"/>
      <c r="AE53" s="57"/>
      <c r="AF53" s="57"/>
      <c r="AG53" s="57"/>
      <c r="AH53" s="57"/>
    </row>
    <row r="54" spans="1:34" x14ac:dyDescent="0.3">
      <c r="A54" s="57"/>
      <c r="B54" s="57"/>
      <c r="C54" s="57"/>
      <c r="D54" s="57"/>
      <c r="E54" s="57" t="str">
        <f t="shared" si="1"/>
        <v/>
      </c>
      <c r="F54" s="57"/>
      <c r="G54" s="57"/>
      <c r="H54" s="57"/>
      <c r="I54" s="57"/>
      <c r="J54" s="57"/>
      <c r="K54" s="57"/>
      <c r="L54" s="57"/>
      <c r="M54" s="57"/>
      <c r="N54" s="57"/>
      <c r="O54" s="57"/>
      <c r="P54" s="57"/>
      <c r="Q54" s="57"/>
      <c r="R54" s="57"/>
      <c r="S54" s="57"/>
      <c r="T54" s="57"/>
      <c r="U54" s="57"/>
      <c r="V54" s="57"/>
      <c r="W54" s="57"/>
      <c r="X54" s="57"/>
      <c r="Y54" s="57"/>
      <c r="Z54" s="57"/>
      <c r="AA54" s="57"/>
      <c r="AB54" s="57"/>
      <c r="AC54" s="57"/>
      <c r="AD54" s="57"/>
      <c r="AE54" s="57"/>
      <c r="AF54" s="57"/>
      <c r="AG54" s="57"/>
      <c r="AH54" s="57"/>
    </row>
    <row r="55" spans="1:34" x14ac:dyDescent="0.3">
      <c r="A55" s="57"/>
      <c r="B55" s="57"/>
      <c r="C55" s="57"/>
      <c r="D55" s="57"/>
      <c r="E55" s="57" t="str">
        <f t="shared" si="1"/>
        <v/>
      </c>
      <c r="F55" s="57"/>
      <c r="G55" s="57"/>
      <c r="H55" s="57"/>
      <c r="I55" s="57"/>
      <c r="J55" s="57"/>
      <c r="K55" s="57"/>
      <c r="L55" s="57"/>
      <c r="M55" s="57"/>
      <c r="N55" s="57"/>
      <c r="O55" s="57"/>
      <c r="P55" s="57"/>
      <c r="Q55" s="57"/>
      <c r="R55" s="57"/>
      <c r="S55" s="57"/>
      <c r="T55" s="57"/>
      <c r="U55" s="57"/>
      <c r="V55" s="57"/>
      <c r="W55" s="57"/>
      <c r="X55" s="57"/>
      <c r="Y55" s="57"/>
      <c r="Z55" s="57"/>
      <c r="AA55" s="57"/>
      <c r="AB55" s="57"/>
      <c r="AC55" s="57"/>
      <c r="AD55" s="57"/>
      <c r="AE55" s="57"/>
      <c r="AF55" s="57"/>
      <c r="AG55" s="57"/>
      <c r="AH55" s="57"/>
    </row>
    <row r="56" spans="1:34" x14ac:dyDescent="0.3">
      <c r="A56" s="57"/>
      <c r="B56" s="57"/>
      <c r="C56" s="57"/>
      <c r="D56" s="57"/>
      <c r="E56" s="57" t="str">
        <f t="shared" si="1"/>
        <v/>
      </c>
      <c r="F56" s="57"/>
      <c r="G56" s="57"/>
      <c r="H56" s="57"/>
      <c r="I56" s="57"/>
      <c r="J56" s="57"/>
      <c r="K56" s="57"/>
      <c r="L56" s="57"/>
      <c r="M56" s="57"/>
      <c r="N56" s="57"/>
      <c r="O56" s="57"/>
      <c r="P56" s="57"/>
      <c r="Q56" s="57"/>
      <c r="R56" s="57"/>
      <c r="S56" s="57"/>
      <c r="T56" s="57"/>
      <c r="U56" s="57"/>
      <c r="V56" s="57"/>
      <c r="W56" s="57"/>
      <c r="X56" s="57"/>
      <c r="Y56" s="57"/>
      <c r="Z56" s="57"/>
      <c r="AA56" s="57"/>
      <c r="AB56" s="57"/>
      <c r="AC56" s="57"/>
      <c r="AD56" s="57"/>
      <c r="AE56" s="57"/>
      <c r="AF56" s="57"/>
      <c r="AG56" s="57"/>
      <c r="AH56" s="57"/>
    </row>
    <row r="57" spans="1:34" x14ac:dyDescent="0.3">
      <c r="A57" s="57"/>
      <c r="B57" s="57"/>
      <c r="C57" s="57"/>
      <c r="D57" s="57"/>
      <c r="E57" s="57" t="str">
        <f t="shared" si="1"/>
        <v/>
      </c>
      <c r="F57" s="57"/>
      <c r="G57" s="57"/>
      <c r="H57" s="57"/>
      <c r="I57" s="57"/>
      <c r="J57" s="57"/>
      <c r="K57" s="57"/>
      <c r="L57" s="57"/>
      <c r="M57" s="57"/>
      <c r="N57" s="57"/>
      <c r="O57" s="57"/>
      <c r="P57" s="57"/>
      <c r="Q57" s="57"/>
      <c r="R57" s="57"/>
      <c r="S57" s="57"/>
      <c r="T57" s="57"/>
      <c r="U57" s="57"/>
      <c r="V57" s="57"/>
      <c r="W57" s="57"/>
      <c r="X57" s="57"/>
      <c r="Y57" s="57"/>
      <c r="Z57" s="57"/>
      <c r="AA57" s="57"/>
      <c r="AB57" s="57"/>
      <c r="AC57" s="57"/>
      <c r="AD57" s="57"/>
      <c r="AE57" s="57"/>
      <c r="AF57" s="57"/>
      <c r="AG57" s="57"/>
      <c r="AH57" s="57"/>
    </row>
    <row r="58" spans="1:34" x14ac:dyDescent="0.3">
      <c r="A58" s="57"/>
      <c r="B58" s="57"/>
      <c r="C58" s="57"/>
      <c r="D58" s="57"/>
      <c r="E58" s="57" t="str">
        <f t="shared" si="1"/>
        <v/>
      </c>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row>
    <row r="59" spans="1:34" x14ac:dyDescent="0.3">
      <c r="A59" s="57"/>
      <c r="B59" s="57"/>
      <c r="C59" s="57"/>
      <c r="D59" s="57"/>
      <c r="E59" s="57" t="str">
        <f t="shared" si="1"/>
        <v/>
      </c>
      <c r="F59" s="57"/>
      <c r="G59" s="57"/>
      <c r="H59" s="57"/>
      <c r="I59" s="57"/>
      <c r="J59" s="57"/>
      <c r="K59" s="57"/>
      <c r="L59" s="57"/>
      <c r="M59" s="57"/>
      <c r="N59" s="57"/>
      <c r="O59" s="57"/>
      <c r="P59" s="57"/>
      <c r="Q59" s="57"/>
      <c r="R59" s="57"/>
      <c r="S59" s="57"/>
      <c r="T59" s="57"/>
      <c r="U59" s="57"/>
      <c r="V59" s="57"/>
      <c r="W59" s="57"/>
      <c r="X59" s="57"/>
      <c r="Y59" s="57"/>
      <c r="Z59" s="57"/>
      <c r="AA59" s="57"/>
      <c r="AB59" s="57"/>
      <c r="AC59" s="57"/>
      <c r="AD59" s="57"/>
      <c r="AE59" s="57"/>
      <c r="AF59" s="57"/>
      <c r="AG59" s="57"/>
      <c r="AH59" s="57"/>
    </row>
    <row r="60" spans="1:34" x14ac:dyDescent="0.3">
      <c r="A60" s="57"/>
      <c r="B60" s="57"/>
      <c r="C60" s="57"/>
      <c r="D60" s="57"/>
      <c r="E60" s="57" t="str">
        <f t="shared" si="1"/>
        <v/>
      </c>
      <c r="F60" s="57"/>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57"/>
      <c r="AG60" s="57"/>
      <c r="AH60" s="57"/>
    </row>
    <row r="61" spans="1:34" x14ac:dyDescent="0.3">
      <c r="A61" s="57"/>
      <c r="B61" s="57"/>
      <c r="C61" s="57"/>
      <c r="D61" s="57"/>
      <c r="E61" s="57" t="str">
        <f t="shared" si="1"/>
        <v/>
      </c>
      <c r="F61" s="57"/>
      <c r="G61" s="57"/>
      <c r="H61" s="57"/>
      <c r="I61" s="57"/>
      <c r="J61" s="57"/>
      <c r="K61" s="57"/>
      <c r="L61" s="57"/>
      <c r="M61" s="57"/>
      <c r="N61" s="57"/>
      <c r="O61" s="57"/>
      <c r="P61" s="57"/>
      <c r="Q61" s="57"/>
      <c r="R61" s="57"/>
      <c r="S61" s="57"/>
      <c r="T61" s="57"/>
      <c r="U61" s="57"/>
      <c r="V61" s="57"/>
      <c r="W61" s="57"/>
      <c r="X61" s="57"/>
      <c r="Y61" s="57"/>
      <c r="Z61" s="57"/>
      <c r="AA61" s="57"/>
      <c r="AB61" s="57"/>
      <c r="AC61" s="57"/>
      <c r="AD61" s="57"/>
      <c r="AE61" s="57"/>
      <c r="AF61" s="57"/>
      <c r="AG61" s="57"/>
      <c r="AH61" s="57"/>
    </row>
    <row r="62" spans="1:34" x14ac:dyDescent="0.3">
      <c r="A62" s="57"/>
      <c r="B62" s="57"/>
      <c r="C62" s="57"/>
      <c r="D62" s="57"/>
      <c r="E62" s="57" t="str">
        <f t="shared" si="1"/>
        <v/>
      </c>
      <c r="F62" s="57"/>
      <c r="G62" s="57"/>
      <c r="H62" s="57"/>
      <c r="I62" s="57"/>
      <c r="J62" s="57"/>
      <c r="K62" s="57"/>
      <c r="L62" s="57"/>
      <c r="M62" s="57"/>
      <c r="N62" s="57"/>
      <c r="O62" s="57"/>
      <c r="P62" s="57"/>
      <c r="Q62" s="57"/>
      <c r="R62" s="57"/>
      <c r="S62" s="57"/>
      <c r="T62" s="57"/>
      <c r="U62" s="57"/>
      <c r="V62" s="57"/>
      <c r="W62" s="57"/>
      <c r="X62" s="57"/>
      <c r="Y62" s="57"/>
      <c r="Z62" s="57"/>
      <c r="AA62" s="57"/>
      <c r="AB62" s="57"/>
      <c r="AC62" s="57"/>
      <c r="AD62" s="57"/>
      <c r="AE62" s="57"/>
      <c r="AF62" s="57"/>
      <c r="AG62" s="57"/>
      <c r="AH62" s="57"/>
    </row>
    <row r="63" spans="1:34" x14ac:dyDescent="0.3">
      <c r="A63" s="57"/>
      <c r="B63" s="57"/>
      <c r="C63" s="57"/>
      <c r="D63" s="57"/>
      <c r="E63" s="57" t="str">
        <f t="shared" si="1"/>
        <v/>
      </c>
      <c r="F63" s="57"/>
      <c r="G63" s="57"/>
      <c r="H63" s="57"/>
      <c r="I63" s="57"/>
      <c r="J63" s="57"/>
      <c r="K63" s="57"/>
      <c r="L63" s="57"/>
      <c r="M63" s="57"/>
      <c r="N63" s="57"/>
      <c r="O63" s="57"/>
      <c r="P63" s="57"/>
      <c r="Q63" s="57"/>
      <c r="R63" s="57"/>
      <c r="S63" s="57"/>
      <c r="T63" s="57"/>
      <c r="U63" s="57"/>
      <c r="V63" s="57"/>
      <c r="W63" s="57"/>
      <c r="X63" s="57"/>
      <c r="Y63" s="57"/>
      <c r="Z63" s="57"/>
      <c r="AA63" s="57"/>
      <c r="AB63" s="57"/>
      <c r="AC63" s="57"/>
      <c r="AD63" s="57"/>
      <c r="AE63" s="57"/>
      <c r="AF63" s="57"/>
      <c r="AG63" s="57"/>
      <c r="AH63" s="57"/>
    </row>
    <row r="64" spans="1:34" x14ac:dyDescent="0.3">
      <c r="A64" s="57"/>
      <c r="B64" s="57"/>
      <c r="C64" s="57"/>
      <c r="D64" s="57"/>
      <c r="E64" s="57" t="str">
        <f t="shared" si="1"/>
        <v/>
      </c>
      <c r="F64" s="57"/>
      <c r="G64" s="57"/>
      <c r="H64" s="57"/>
      <c r="I64" s="57"/>
      <c r="J64" s="57"/>
      <c r="K64" s="57"/>
      <c r="L64" s="57"/>
      <c r="M64" s="57"/>
      <c r="N64" s="57"/>
      <c r="O64" s="57"/>
      <c r="P64" s="57"/>
      <c r="Q64" s="57"/>
      <c r="R64" s="57"/>
      <c r="S64" s="57"/>
      <c r="T64" s="57"/>
      <c r="U64" s="57"/>
      <c r="V64" s="57"/>
      <c r="W64" s="57"/>
      <c r="X64" s="57"/>
      <c r="Y64" s="57"/>
      <c r="Z64" s="57"/>
      <c r="AA64" s="57"/>
      <c r="AB64" s="57"/>
      <c r="AC64" s="57"/>
      <c r="AD64" s="57"/>
      <c r="AE64" s="57"/>
      <c r="AF64" s="57"/>
      <c r="AG64" s="57"/>
      <c r="AH64" s="57"/>
    </row>
    <row r="65" spans="1:34" x14ac:dyDescent="0.3">
      <c r="A65" s="57"/>
      <c r="B65" s="57"/>
      <c r="C65" s="57"/>
      <c r="D65" s="57"/>
      <c r="E65" s="57" t="str">
        <f t="shared" si="1"/>
        <v/>
      </c>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row>
    <row r="66" spans="1:34" x14ac:dyDescent="0.3">
      <c r="A66" s="57"/>
      <c r="B66" s="57"/>
      <c r="C66" s="57"/>
      <c r="D66" s="57"/>
      <c r="E66" s="57" t="str">
        <f t="shared" si="1"/>
        <v/>
      </c>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row>
    <row r="67" spans="1:34" x14ac:dyDescent="0.3">
      <c r="A67" s="57"/>
      <c r="B67" s="57"/>
      <c r="C67" s="57"/>
      <c r="D67" s="57"/>
      <c r="E67" s="57" t="str">
        <f t="shared" si="1"/>
        <v/>
      </c>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row>
    <row r="68" spans="1:34" x14ac:dyDescent="0.3">
      <c r="A68" s="57"/>
      <c r="B68" s="57"/>
      <c r="C68" s="57"/>
      <c r="D68" s="57"/>
      <c r="E68" s="57" t="str">
        <f t="shared" si="1"/>
        <v/>
      </c>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row>
    <row r="69" spans="1:34" x14ac:dyDescent="0.3">
      <c r="A69" s="57"/>
      <c r="B69" s="57"/>
      <c r="C69" s="57"/>
      <c r="D69" s="57"/>
      <c r="E69" s="57" t="str">
        <f t="shared" si="1"/>
        <v/>
      </c>
      <c r="F69" s="57"/>
      <c r="G69" s="57"/>
      <c r="H69" s="57"/>
      <c r="I69" s="57"/>
      <c r="J69" s="57"/>
      <c r="K69" s="57"/>
      <c r="L69" s="57"/>
      <c r="M69" s="57"/>
      <c r="N69" s="57"/>
      <c r="O69" s="57"/>
      <c r="P69" s="57"/>
      <c r="Q69" s="57"/>
      <c r="R69" s="57"/>
      <c r="S69" s="57"/>
      <c r="T69" s="57"/>
      <c r="U69" s="57"/>
      <c r="V69" s="57"/>
      <c r="W69" s="57"/>
      <c r="X69" s="57"/>
      <c r="Y69" s="57"/>
      <c r="Z69" s="57"/>
      <c r="AA69" s="57"/>
      <c r="AB69" s="57"/>
      <c r="AC69" s="57"/>
      <c r="AD69" s="57"/>
      <c r="AE69" s="57"/>
      <c r="AF69" s="57"/>
      <c r="AG69" s="57"/>
      <c r="AH69" s="57"/>
    </row>
    <row r="70" spans="1:34" x14ac:dyDescent="0.3">
      <c r="A70" s="57"/>
      <c r="B70" s="57"/>
      <c r="C70" s="57"/>
      <c r="D70" s="57"/>
      <c r="E70" s="57" t="str">
        <f t="shared" si="1"/>
        <v/>
      </c>
      <c r="F70" s="57"/>
      <c r="G70" s="57"/>
      <c r="H70" s="57"/>
      <c r="I70" s="57"/>
      <c r="J70" s="57"/>
      <c r="K70" s="57"/>
      <c r="L70" s="57"/>
      <c r="M70" s="57"/>
      <c r="N70" s="57"/>
      <c r="O70" s="57"/>
      <c r="P70" s="57"/>
      <c r="Q70" s="57"/>
      <c r="R70" s="57"/>
      <c r="S70" s="57"/>
      <c r="T70" s="57"/>
      <c r="U70" s="57"/>
      <c r="V70" s="57"/>
      <c r="W70" s="57"/>
      <c r="X70" s="57"/>
      <c r="Y70" s="57"/>
      <c r="Z70" s="57"/>
      <c r="AA70" s="57"/>
      <c r="AB70" s="57"/>
      <c r="AC70" s="57"/>
      <c r="AD70" s="57"/>
      <c r="AE70" s="57"/>
      <c r="AF70" s="57"/>
      <c r="AG70" s="57"/>
      <c r="AH70" s="57"/>
    </row>
    <row r="71" spans="1:34" x14ac:dyDescent="0.3">
      <c r="A71" s="57"/>
      <c r="B71" s="57"/>
      <c r="C71" s="57"/>
      <c r="D71" s="57"/>
      <c r="E71" s="57" t="str">
        <f t="shared" si="1"/>
        <v/>
      </c>
      <c r="F71" s="57"/>
      <c r="G71" s="57"/>
      <c r="H71" s="57"/>
      <c r="I71" s="57"/>
      <c r="J71" s="57"/>
      <c r="K71" s="57"/>
      <c r="L71" s="57"/>
      <c r="M71" s="57"/>
      <c r="N71" s="57"/>
      <c r="O71" s="57"/>
      <c r="P71" s="57"/>
      <c r="Q71" s="57"/>
      <c r="R71" s="57"/>
      <c r="S71" s="57"/>
      <c r="T71" s="57"/>
      <c r="U71" s="57"/>
      <c r="V71" s="57"/>
      <c r="W71" s="57"/>
      <c r="X71" s="57"/>
      <c r="Y71" s="57"/>
      <c r="Z71" s="57"/>
      <c r="AA71" s="57"/>
      <c r="AB71" s="57"/>
      <c r="AC71" s="57"/>
      <c r="AD71" s="57"/>
      <c r="AE71" s="57"/>
      <c r="AF71" s="57"/>
      <c r="AG71" s="57"/>
      <c r="AH71" s="57"/>
    </row>
    <row r="72" spans="1:34" x14ac:dyDescent="0.3">
      <c r="A72" s="57"/>
      <c r="B72" s="57"/>
      <c r="C72" s="57"/>
      <c r="D72" s="57"/>
      <c r="E72" s="57" t="str">
        <f t="shared" si="1"/>
        <v/>
      </c>
      <c r="F72" s="57"/>
      <c r="G72" s="57"/>
      <c r="H72" s="57"/>
      <c r="I72" s="57"/>
      <c r="J72" s="57"/>
      <c r="K72" s="57"/>
      <c r="L72" s="57"/>
      <c r="M72" s="57"/>
      <c r="N72" s="57"/>
      <c r="O72" s="57"/>
      <c r="P72" s="57"/>
      <c r="Q72" s="57"/>
      <c r="R72" s="57"/>
      <c r="S72" s="57"/>
      <c r="T72" s="57"/>
      <c r="U72" s="57"/>
      <c r="V72" s="57"/>
      <c r="W72" s="57"/>
      <c r="X72" s="57"/>
      <c r="Y72" s="57"/>
      <c r="Z72" s="57"/>
      <c r="AA72" s="57"/>
      <c r="AB72" s="57"/>
      <c r="AC72" s="57"/>
      <c r="AD72" s="57"/>
      <c r="AE72" s="57"/>
      <c r="AF72" s="57"/>
      <c r="AG72" s="57"/>
      <c r="AH72" s="57"/>
    </row>
    <row r="73" spans="1:34" x14ac:dyDescent="0.3">
      <c r="A73" s="57"/>
      <c r="B73" s="57"/>
      <c r="C73" s="57"/>
      <c r="D73" s="57"/>
      <c r="E73" s="57" t="str">
        <f t="shared" si="1"/>
        <v/>
      </c>
      <c r="F73" s="57"/>
      <c r="G73" s="57"/>
      <c r="H73" s="57"/>
      <c r="I73" s="57"/>
      <c r="J73" s="57"/>
      <c r="K73" s="57"/>
      <c r="L73" s="57"/>
      <c r="M73" s="57"/>
      <c r="N73" s="57"/>
      <c r="O73" s="57"/>
      <c r="P73" s="57"/>
      <c r="Q73" s="57"/>
      <c r="R73" s="57"/>
      <c r="S73" s="57"/>
      <c r="T73" s="57"/>
      <c r="U73" s="57"/>
      <c r="V73" s="57"/>
      <c r="W73" s="57"/>
      <c r="X73" s="57"/>
      <c r="Y73" s="57"/>
      <c r="Z73" s="57"/>
      <c r="AA73" s="57"/>
      <c r="AB73" s="57"/>
      <c r="AC73" s="57"/>
      <c r="AD73" s="57"/>
      <c r="AE73" s="57"/>
      <c r="AF73" s="57"/>
      <c r="AG73" s="57"/>
      <c r="AH73" s="57"/>
    </row>
    <row r="74" spans="1:34" x14ac:dyDescent="0.3">
      <c r="A74" s="57"/>
      <c r="B74" s="57"/>
      <c r="C74" s="57"/>
      <c r="D74" s="57"/>
      <c r="E74" s="57" t="str">
        <f t="shared" si="1"/>
        <v/>
      </c>
      <c r="F74" s="57"/>
      <c r="G74" s="57"/>
      <c r="H74" s="57"/>
      <c r="I74" s="57"/>
      <c r="J74" s="57"/>
      <c r="K74" s="57"/>
      <c r="L74" s="57"/>
      <c r="M74" s="57"/>
      <c r="N74" s="57"/>
      <c r="O74" s="57"/>
      <c r="P74" s="57"/>
      <c r="Q74" s="57"/>
      <c r="R74" s="57"/>
      <c r="S74" s="57"/>
      <c r="T74" s="57"/>
      <c r="U74" s="57"/>
      <c r="V74" s="57"/>
      <c r="W74" s="57"/>
      <c r="X74" s="57"/>
      <c r="Y74" s="57"/>
      <c r="Z74" s="57"/>
      <c r="AA74" s="57"/>
      <c r="AB74" s="57"/>
      <c r="AC74" s="57"/>
      <c r="AD74" s="57"/>
      <c r="AE74" s="57"/>
      <c r="AF74" s="57"/>
      <c r="AG74" s="57"/>
      <c r="AH74" s="57"/>
    </row>
    <row r="75" spans="1:34" x14ac:dyDescent="0.3">
      <c r="A75" s="57"/>
      <c r="B75" s="57"/>
      <c r="C75" s="57"/>
      <c r="D75" s="57"/>
      <c r="E75" s="57" t="str">
        <f t="shared" si="1"/>
        <v/>
      </c>
      <c r="F75" s="57"/>
      <c r="G75" s="57"/>
      <c r="H75" s="57"/>
      <c r="I75" s="57"/>
      <c r="J75" s="57"/>
      <c r="K75" s="57"/>
      <c r="L75" s="57"/>
      <c r="M75" s="57"/>
      <c r="N75" s="57"/>
      <c r="O75" s="57"/>
      <c r="P75" s="57"/>
      <c r="Q75" s="57"/>
      <c r="R75" s="57"/>
      <c r="S75" s="57"/>
      <c r="T75" s="57"/>
      <c r="U75" s="57"/>
      <c r="V75" s="57"/>
      <c r="W75" s="57"/>
      <c r="X75" s="57"/>
      <c r="Y75" s="57"/>
      <c r="Z75" s="57"/>
      <c r="AA75" s="57"/>
      <c r="AB75" s="57"/>
      <c r="AC75" s="57"/>
      <c r="AD75" s="57"/>
      <c r="AE75" s="57"/>
      <c r="AF75" s="57"/>
      <c r="AG75" s="57"/>
      <c r="AH75" s="57"/>
    </row>
    <row r="76" spans="1:34" x14ac:dyDescent="0.3">
      <c r="A76" s="57"/>
      <c r="B76" s="57"/>
      <c r="C76" s="57"/>
      <c r="D76" s="57"/>
      <c r="E76" s="57" t="str">
        <f t="shared" si="1"/>
        <v/>
      </c>
      <c r="F76" s="57"/>
      <c r="G76" s="57"/>
      <c r="H76" s="57"/>
      <c r="I76" s="57"/>
      <c r="J76" s="57"/>
      <c r="K76" s="57"/>
      <c r="L76" s="57"/>
      <c r="M76" s="57"/>
      <c r="N76" s="57"/>
      <c r="O76" s="57"/>
      <c r="P76" s="57"/>
      <c r="Q76" s="57"/>
      <c r="R76" s="57"/>
      <c r="S76" s="57"/>
      <c r="T76" s="57"/>
      <c r="U76" s="57"/>
      <c r="V76" s="57"/>
      <c r="W76" s="57"/>
      <c r="X76" s="57"/>
      <c r="Y76" s="57"/>
      <c r="Z76" s="57"/>
      <c r="AA76" s="57"/>
      <c r="AB76" s="57"/>
      <c r="AC76" s="57"/>
      <c r="AD76" s="57"/>
      <c r="AE76" s="57"/>
      <c r="AF76" s="57"/>
      <c r="AG76" s="57"/>
      <c r="AH76" s="57"/>
    </row>
    <row r="77" spans="1:34" x14ac:dyDescent="0.3">
      <c r="A77" s="57"/>
      <c r="B77" s="57"/>
      <c r="C77" s="57"/>
      <c r="D77" s="57"/>
      <c r="E77" s="57" t="str">
        <f t="shared" si="1"/>
        <v/>
      </c>
      <c r="F77" s="57"/>
      <c r="G77" s="57"/>
      <c r="H77" s="57"/>
      <c r="I77" s="57"/>
      <c r="J77" s="57"/>
      <c r="K77" s="57"/>
      <c r="L77" s="57"/>
      <c r="M77" s="57"/>
      <c r="N77" s="57"/>
      <c r="O77" s="57"/>
      <c r="P77" s="57"/>
      <c r="Q77" s="57"/>
      <c r="R77" s="57"/>
      <c r="S77" s="57"/>
      <c r="T77" s="57"/>
      <c r="U77" s="57"/>
      <c r="V77" s="57"/>
      <c r="W77" s="57"/>
      <c r="X77" s="57"/>
      <c r="Y77" s="57"/>
      <c r="Z77" s="57"/>
      <c r="AA77" s="57"/>
      <c r="AB77" s="57"/>
      <c r="AC77" s="57"/>
      <c r="AD77" s="57"/>
      <c r="AE77" s="57"/>
      <c r="AF77" s="57"/>
      <c r="AG77" s="57"/>
      <c r="AH77" s="57"/>
    </row>
    <row r="78" spans="1:34" x14ac:dyDescent="0.3">
      <c r="A78" s="57"/>
      <c r="B78" s="57"/>
      <c r="C78" s="57"/>
      <c r="D78" s="57"/>
      <c r="E78" s="57" t="str">
        <f t="shared" si="1"/>
        <v/>
      </c>
      <c r="F78" s="57"/>
      <c r="G78" s="57"/>
      <c r="H78" s="57"/>
      <c r="I78" s="57"/>
      <c r="J78" s="57"/>
      <c r="K78" s="57"/>
      <c r="L78" s="57"/>
      <c r="M78" s="57"/>
      <c r="N78" s="57"/>
      <c r="O78" s="57"/>
      <c r="P78" s="57"/>
      <c r="Q78" s="57"/>
      <c r="R78" s="57"/>
      <c r="S78" s="57"/>
      <c r="T78" s="57"/>
      <c r="U78" s="57"/>
      <c r="V78" s="57"/>
      <c r="W78" s="57"/>
      <c r="X78" s="57"/>
      <c r="Y78" s="57"/>
      <c r="Z78" s="57"/>
      <c r="AA78" s="57"/>
      <c r="AB78" s="57"/>
      <c r="AC78" s="57"/>
      <c r="AD78" s="57"/>
      <c r="AE78" s="57"/>
      <c r="AF78" s="57"/>
      <c r="AG78" s="57"/>
      <c r="AH78" s="57"/>
    </row>
    <row r="79" spans="1:34" x14ac:dyDescent="0.3">
      <c r="A79" s="57"/>
      <c r="B79" s="57"/>
      <c r="C79" s="57"/>
      <c r="D79" s="57"/>
      <c r="E79" s="57" t="str">
        <f t="shared" si="1"/>
        <v/>
      </c>
      <c r="F79" s="57"/>
      <c r="G79" s="57"/>
      <c r="H79" s="57"/>
      <c r="I79" s="57"/>
      <c r="J79" s="57"/>
      <c r="K79" s="57"/>
      <c r="L79" s="57"/>
      <c r="M79" s="57"/>
      <c r="N79" s="57"/>
      <c r="O79" s="57"/>
      <c r="P79" s="57"/>
      <c r="Q79" s="57"/>
      <c r="R79" s="57"/>
      <c r="S79" s="57"/>
      <c r="T79" s="57"/>
      <c r="U79" s="57"/>
      <c r="V79" s="57"/>
      <c r="W79" s="57"/>
      <c r="X79" s="57"/>
      <c r="Y79" s="57"/>
      <c r="Z79" s="57"/>
      <c r="AA79" s="57"/>
      <c r="AB79" s="57"/>
      <c r="AC79" s="57"/>
      <c r="AD79" s="57"/>
      <c r="AE79" s="57"/>
      <c r="AF79" s="57"/>
      <c r="AG79" s="57"/>
      <c r="AH79" s="57"/>
    </row>
    <row r="80" spans="1:34" x14ac:dyDescent="0.3">
      <c r="A80" s="57"/>
      <c r="B80" s="57"/>
      <c r="C80" s="57"/>
      <c r="D80" s="57"/>
      <c r="E80" s="57" t="str">
        <f t="shared" si="1"/>
        <v/>
      </c>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row>
    <row r="81" spans="1:34" x14ac:dyDescent="0.3">
      <c r="A81" s="57"/>
      <c r="B81" s="57"/>
      <c r="C81" s="57"/>
      <c r="D81" s="57"/>
      <c r="E81" s="57" t="str">
        <f t="shared" si="1"/>
        <v/>
      </c>
      <c r="F81" s="57"/>
      <c r="G81" s="57"/>
      <c r="H81" s="57"/>
      <c r="I81" s="57"/>
      <c r="J81" s="57"/>
      <c r="K81" s="57"/>
      <c r="L81" s="57"/>
      <c r="M81" s="57"/>
      <c r="N81" s="57"/>
      <c r="O81" s="57"/>
      <c r="P81" s="57"/>
      <c r="Q81" s="57"/>
      <c r="R81" s="57"/>
      <c r="S81" s="57"/>
      <c r="T81" s="57"/>
      <c r="U81" s="57"/>
      <c r="V81" s="57"/>
      <c r="W81" s="57"/>
      <c r="X81" s="57"/>
      <c r="Y81" s="57"/>
      <c r="Z81" s="57"/>
      <c r="AA81" s="57"/>
      <c r="AB81" s="57"/>
      <c r="AC81" s="57"/>
      <c r="AD81" s="57"/>
      <c r="AE81" s="57"/>
      <c r="AF81" s="57"/>
      <c r="AG81" s="57"/>
      <c r="AH81" s="57"/>
    </row>
    <row r="82" spans="1:34" x14ac:dyDescent="0.3">
      <c r="A82" s="57"/>
      <c r="B82" s="57"/>
      <c r="C82" s="57"/>
      <c r="D82" s="57"/>
      <c r="E82" s="57" t="str">
        <f t="shared" si="1"/>
        <v/>
      </c>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row>
    <row r="83" spans="1:34" x14ac:dyDescent="0.3">
      <c r="A83" s="57"/>
      <c r="B83" s="57"/>
      <c r="C83" s="57"/>
      <c r="D83" s="57"/>
      <c r="E83" s="57" t="str">
        <f t="shared" si="1"/>
        <v/>
      </c>
      <c r="F83" s="57"/>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row>
    <row r="84" spans="1:34" x14ac:dyDescent="0.3">
      <c r="A84" s="57"/>
      <c r="B84" s="57"/>
      <c r="C84" s="57"/>
      <c r="D84" s="57"/>
      <c r="E84" s="57" t="str">
        <f t="shared" si="1"/>
        <v/>
      </c>
      <c r="F84" s="57"/>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row>
    <row r="85" spans="1:34" x14ac:dyDescent="0.3">
      <c r="A85" s="57"/>
      <c r="B85" s="57"/>
      <c r="C85" s="57"/>
      <c r="D85" s="57"/>
      <c r="E85" s="57" t="str">
        <f t="shared" ref="E85:E101" si="2">IF(A86="","",D85/C85)</f>
        <v/>
      </c>
      <c r="F85" s="57"/>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c r="AH85" s="57"/>
    </row>
    <row r="86" spans="1:34" x14ac:dyDescent="0.3">
      <c r="A86" s="57"/>
      <c r="B86" s="57"/>
      <c r="C86" s="57"/>
      <c r="D86" s="57"/>
      <c r="E86" s="57" t="str">
        <f t="shared" si="2"/>
        <v/>
      </c>
      <c r="F86" s="57"/>
      <c r="G86" s="57"/>
      <c r="H86" s="57"/>
      <c r="I86" s="57"/>
      <c r="J86" s="57"/>
      <c r="K86" s="57"/>
      <c r="L86" s="57"/>
      <c r="M86" s="57"/>
      <c r="N86" s="57"/>
      <c r="O86" s="57"/>
      <c r="P86" s="57"/>
      <c r="Q86" s="57"/>
      <c r="R86" s="57"/>
      <c r="S86" s="57"/>
      <c r="T86" s="57"/>
      <c r="U86" s="57"/>
      <c r="V86" s="57"/>
      <c r="W86" s="57"/>
      <c r="X86" s="57"/>
      <c r="Y86" s="57"/>
      <c r="Z86" s="57"/>
      <c r="AA86" s="57"/>
      <c r="AB86" s="57"/>
      <c r="AC86" s="57"/>
      <c r="AD86" s="57"/>
      <c r="AE86" s="57"/>
      <c r="AF86" s="57"/>
      <c r="AG86" s="57"/>
      <c r="AH86" s="57"/>
    </row>
    <row r="87" spans="1:34" x14ac:dyDescent="0.3">
      <c r="A87" s="57"/>
      <c r="B87" s="57"/>
      <c r="C87" s="57"/>
      <c r="D87" s="57"/>
      <c r="E87" s="57" t="str">
        <f t="shared" si="2"/>
        <v/>
      </c>
      <c r="F87" s="57"/>
      <c r="G87" s="57"/>
      <c r="H87" s="57"/>
      <c r="I87" s="57"/>
      <c r="J87" s="57"/>
      <c r="K87" s="57"/>
      <c r="L87" s="57"/>
      <c r="M87" s="57"/>
      <c r="N87" s="57"/>
      <c r="O87" s="57"/>
      <c r="P87" s="57"/>
      <c r="Q87" s="57"/>
      <c r="R87" s="57"/>
      <c r="S87" s="57"/>
      <c r="T87" s="57"/>
      <c r="U87" s="57"/>
      <c r="V87" s="57"/>
      <c r="W87" s="57"/>
      <c r="X87" s="57"/>
      <c r="Y87" s="57"/>
      <c r="Z87" s="57"/>
      <c r="AA87" s="57"/>
      <c r="AB87" s="57"/>
      <c r="AC87" s="57"/>
      <c r="AD87" s="57"/>
      <c r="AE87" s="57"/>
      <c r="AF87" s="57"/>
      <c r="AG87" s="57"/>
      <c r="AH87" s="57"/>
    </row>
    <row r="88" spans="1:34" x14ac:dyDescent="0.3">
      <c r="A88" s="57"/>
      <c r="B88" s="57"/>
      <c r="C88" s="57"/>
      <c r="D88" s="57"/>
      <c r="E88" s="57" t="str">
        <f t="shared" si="2"/>
        <v/>
      </c>
      <c r="F88" s="57"/>
      <c r="G88" s="57"/>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c r="AH88" s="57"/>
    </row>
    <row r="89" spans="1:34" x14ac:dyDescent="0.3">
      <c r="A89" s="57"/>
      <c r="B89" s="57"/>
      <c r="C89" s="57"/>
      <c r="D89" s="57"/>
      <c r="E89" s="57" t="str">
        <f t="shared" si="2"/>
        <v/>
      </c>
      <c r="F89" s="57"/>
      <c r="G89" s="57"/>
      <c r="H89" s="57"/>
      <c r="I89" s="57"/>
      <c r="J89" s="57"/>
      <c r="K89" s="57"/>
      <c r="L89" s="57"/>
      <c r="M89" s="57"/>
      <c r="N89" s="57"/>
      <c r="O89" s="57"/>
      <c r="P89" s="57"/>
      <c r="Q89" s="57"/>
      <c r="R89" s="57"/>
      <c r="S89" s="57"/>
      <c r="T89" s="57"/>
      <c r="U89" s="57"/>
      <c r="V89" s="57"/>
      <c r="W89" s="57"/>
      <c r="X89" s="57"/>
      <c r="Y89" s="57"/>
      <c r="Z89" s="57"/>
      <c r="AA89" s="57"/>
      <c r="AB89" s="57"/>
      <c r="AC89" s="57"/>
      <c r="AD89" s="57"/>
      <c r="AE89" s="57"/>
      <c r="AF89" s="57"/>
      <c r="AG89" s="57"/>
      <c r="AH89" s="57"/>
    </row>
    <row r="90" spans="1:34" x14ac:dyDescent="0.3">
      <c r="A90" s="57"/>
      <c r="B90" s="57"/>
      <c r="C90" s="57"/>
      <c r="D90" s="57"/>
      <c r="E90" s="57" t="str">
        <f t="shared" si="2"/>
        <v/>
      </c>
      <c r="F90" s="57"/>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c r="AH90" s="57"/>
    </row>
    <row r="91" spans="1:34" x14ac:dyDescent="0.3">
      <c r="A91" s="57"/>
      <c r="B91" s="57"/>
      <c r="C91" s="57"/>
      <c r="D91" s="57"/>
      <c r="E91" s="57" t="str">
        <f t="shared" si="2"/>
        <v/>
      </c>
      <c r="F91" s="57"/>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c r="AH91" s="57"/>
    </row>
    <row r="92" spans="1:34" x14ac:dyDescent="0.3">
      <c r="A92" s="57"/>
      <c r="B92" s="57"/>
      <c r="C92" s="57"/>
      <c r="D92" s="57"/>
      <c r="E92" s="57" t="str">
        <f t="shared" si="2"/>
        <v/>
      </c>
      <c r="F92" s="57"/>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row>
    <row r="93" spans="1:34" x14ac:dyDescent="0.3">
      <c r="A93" s="57"/>
      <c r="B93" s="57"/>
      <c r="C93" s="57"/>
      <c r="D93" s="57"/>
      <c r="E93" s="57" t="str">
        <f t="shared" si="2"/>
        <v/>
      </c>
      <c r="F93" s="57"/>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c r="AH93" s="57"/>
    </row>
    <row r="94" spans="1:34" x14ac:dyDescent="0.3">
      <c r="A94" s="57"/>
      <c r="B94" s="57"/>
      <c r="C94" s="57"/>
      <c r="D94" s="57"/>
      <c r="E94" s="57" t="str">
        <f t="shared" si="2"/>
        <v/>
      </c>
      <c r="F94" s="57"/>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row>
    <row r="95" spans="1:34" x14ac:dyDescent="0.3">
      <c r="A95" s="57"/>
      <c r="B95" s="57"/>
      <c r="C95" s="57"/>
      <c r="D95" s="57"/>
      <c r="E95" s="57" t="str">
        <f t="shared" si="2"/>
        <v/>
      </c>
      <c r="F95" s="57"/>
      <c r="G95" s="57"/>
      <c r="H95" s="57"/>
      <c r="I95" s="57"/>
      <c r="J95" s="57"/>
      <c r="K95" s="57"/>
      <c r="L95" s="57"/>
      <c r="M95" s="57"/>
      <c r="N95" s="57"/>
      <c r="O95" s="57"/>
      <c r="P95" s="57"/>
      <c r="Q95" s="57"/>
      <c r="R95" s="57"/>
      <c r="S95" s="57"/>
      <c r="T95" s="57"/>
      <c r="U95" s="57"/>
      <c r="V95" s="57"/>
      <c r="W95" s="57"/>
      <c r="X95" s="57"/>
      <c r="Y95" s="57"/>
      <c r="Z95" s="57"/>
      <c r="AA95" s="57"/>
      <c r="AB95" s="57"/>
      <c r="AC95" s="57"/>
      <c r="AD95" s="57"/>
      <c r="AE95" s="57"/>
      <c r="AF95" s="57"/>
      <c r="AG95" s="57"/>
      <c r="AH95" s="57"/>
    </row>
    <row r="96" spans="1:34" x14ac:dyDescent="0.3">
      <c r="A96" s="57"/>
      <c r="B96" s="57"/>
      <c r="C96" s="57"/>
      <c r="D96" s="57"/>
      <c r="E96" s="57" t="str">
        <f t="shared" si="2"/>
        <v/>
      </c>
      <c r="F96" s="57"/>
      <c r="G96" s="57"/>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c r="AH96" s="57"/>
    </row>
    <row r="97" spans="5:5" x14ac:dyDescent="0.3">
      <c r="E97" t="str">
        <f t="shared" si="2"/>
        <v/>
      </c>
    </row>
    <row r="98" spans="5:5" x14ac:dyDescent="0.3">
      <c r="E98" t="str">
        <f t="shared" si="2"/>
        <v/>
      </c>
    </row>
    <row r="99" spans="5:5" x14ac:dyDescent="0.3">
      <c r="E99" t="str">
        <f t="shared" si="2"/>
        <v/>
      </c>
    </row>
    <row r="100" spans="5:5" x14ac:dyDescent="0.3">
      <c r="E100" t="str">
        <f t="shared" si="2"/>
        <v/>
      </c>
    </row>
    <row r="101" spans="5:5" x14ac:dyDescent="0.3">
      <c r="E101" t="str">
        <f t="shared" si="2"/>
        <v/>
      </c>
    </row>
  </sheetData>
  <pageMargins left="0.7" right="0.7" top="0.75" bottom="0.75" header="0.3" footer="0.3"/>
  <drawing r:id="rId1"/>
  <legacyDrawing r:id="rId2"/>
  <controls>
    <mc:AlternateContent xmlns:mc="http://schemas.openxmlformats.org/markup-compatibility/2006">
      <mc:Choice Requires="x14">
        <control shapeId="16393" r:id="rId3" name="CommandButton5">
          <controlPr defaultSize="0" autoLine="0" r:id="rId4">
            <anchor moveWithCells="1">
              <from>
                <xdr:col>4</xdr:col>
                <xdr:colOff>640080</xdr:colOff>
                <xdr:row>12</xdr:row>
                <xdr:rowOff>68580</xdr:rowOff>
              </from>
              <to>
                <xdr:col>5</xdr:col>
                <xdr:colOff>304800</xdr:colOff>
                <xdr:row>15</xdr:row>
                <xdr:rowOff>175260</xdr:rowOff>
              </to>
            </anchor>
          </controlPr>
        </control>
      </mc:Choice>
      <mc:Fallback>
        <control shapeId="16393" r:id="rId3" name="CommandButton5"/>
      </mc:Fallback>
    </mc:AlternateContent>
    <mc:AlternateContent xmlns:mc="http://schemas.openxmlformats.org/markup-compatibility/2006">
      <mc:Choice Requires="x14">
        <control shapeId="16389" r:id="rId5" name="CommandButton4">
          <controlPr defaultSize="0" autoLine="0" r:id="rId6">
            <anchor moveWithCells="1">
              <from>
                <xdr:col>5</xdr:col>
                <xdr:colOff>518160</xdr:colOff>
                <xdr:row>12</xdr:row>
                <xdr:rowOff>106680</xdr:rowOff>
              </from>
              <to>
                <xdr:col>8</xdr:col>
                <xdr:colOff>480060</xdr:colOff>
                <xdr:row>15</xdr:row>
                <xdr:rowOff>106680</xdr:rowOff>
              </to>
            </anchor>
          </controlPr>
        </control>
      </mc:Choice>
      <mc:Fallback>
        <control shapeId="16389" r:id="rId5" name="CommandButton4"/>
      </mc:Fallback>
    </mc:AlternateContent>
    <mc:AlternateContent xmlns:mc="http://schemas.openxmlformats.org/markup-compatibility/2006">
      <mc:Choice Requires="x14">
        <control shapeId="16386" r:id="rId7" name="CommandButton2">
          <controlPr defaultSize="0" autoLine="0" r:id="rId8">
            <anchor moveWithCells="1">
              <from>
                <xdr:col>6</xdr:col>
                <xdr:colOff>449580</xdr:colOff>
                <xdr:row>4</xdr:row>
                <xdr:rowOff>114300</xdr:rowOff>
              </from>
              <to>
                <xdr:col>8</xdr:col>
                <xdr:colOff>464820</xdr:colOff>
                <xdr:row>8</xdr:row>
                <xdr:rowOff>0</xdr:rowOff>
              </to>
            </anchor>
          </controlPr>
        </control>
      </mc:Choice>
      <mc:Fallback>
        <control shapeId="16386" r:id="rId7" name="CommandButton2"/>
      </mc:Fallback>
    </mc:AlternateContent>
    <mc:AlternateContent xmlns:mc="http://schemas.openxmlformats.org/markup-compatibility/2006">
      <mc:Choice Requires="x14">
        <control shapeId="16385" r:id="rId9" name="CommandButton1">
          <controlPr defaultSize="0" autoLine="0" r:id="rId10">
            <anchor moveWithCells="1">
              <from>
                <xdr:col>6</xdr:col>
                <xdr:colOff>457200</xdr:colOff>
                <xdr:row>0</xdr:row>
                <xdr:rowOff>121920</xdr:rowOff>
              </from>
              <to>
                <xdr:col>8</xdr:col>
                <xdr:colOff>464820</xdr:colOff>
                <xdr:row>3</xdr:row>
                <xdr:rowOff>175260</xdr:rowOff>
              </to>
            </anchor>
          </controlPr>
        </control>
      </mc:Choice>
      <mc:Fallback>
        <control shapeId="16385" r:id="rId9" name="CommandButton1"/>
      </mc:Fallback>
    </mc:AlternateContent>
    <mc:AlternateContent xmlns:mc="http://schemas.openxmlformats.org/markup-compatibility/2006">
      <mc:Choice Requires="x14">
        <control shapeId="16387" r:id="rId11" name="CommandButton3">
          <controlPr defaultSize="0" autoLine="0" r:id="rId12">
            <anchor moveWithCells="1">
              <from>
                <xdr:col>6</xdr:col>
                <xdr:colOff>457200</xdr:colOff>
                <xdr:row>8</xdr:row>
                <xdr:rowOff>99060</xdr:rowOff>
              </from>
              <to>
                <xdr:col>8</xdr:col>
                <xdr:colOff>464820</xdr:colOff>
                <xdr:row>11</xdr:row>
                <xdr:rowOff>137160</xdr:rowOff>
              </to>
            </anchor>
          </controlPr>
        </control>
      </mc:Choice>
      <mc:Fallback>
        <control shapeId="16387" r:id="rId11" name="CommandButton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60B9D-4ACF-4525-8F13-CC45760FBAD1}">
  <sheetPr codeName="Sheet9"/>
  <dimension ref="A1:AS18"/>
  <sheetViews>
    <sheetView workbookViewId="0">
      <selection activeCell="B16" sqref="B16"/>
    </sheetView>
  </sheetViews>
  <sheetFormatPr defaultRowHeight="14.4" x14ac:dyDescent="0.3"/>
  <cols>
    <col min="1" max="1" width="30" bestFit="1" customWidth="1"/>
    <col min="2" max="2" width="17.33203125" bestFit="1" customWidth="1"/>
    <col min="3" max="3" width="10.6640625" customWidth="1"/>
    <col min="4" max="4" width="22" bestFit="1" customWidth="1"/>
    <col min="5" max="75" width="10.6640625" customWidth="1"/>
  </cols>
  <sheetData>
    <row r="1" spans="1:45" x14ac:dyDescent="0.3">
      <c r="A1" s="18" t="s">
        <v>102</v>
      </c>
      <c r="B1" s="50">
        <v>43930</v>
      </c>
      <c r="C1" s="50">
        <v>43931</v>
      </c>
      <c r="D1" s="50">
        <v>43935</v>
      </c>
      <c r="E1" s="50">
        <v>43936</v>
      </c>
      <c r="F1" s="50">
        <v>43937</v>
      </c>
      <c r="G1" s="50">
        <v>43939</v>
      </c>
      <c r="H1" s="50">
        <v>43942</v>
      </c>
      <c r="I1" s="50">
        <v>43943</v>
      </c>
      <c r="J1" s="50">
        <v>43944</v>
      </c>
      <c r="K1" s="50">
        <v>43945</v>
      </c>
      <c r="L1" s="50">
        <v>43949</v>
      </c>
      <c r="M1" s="50">
        <v>43952</v>
      </c>
      <c r="N1" s="50">
        <v>43953</v>
      </c>
      <c r="O1" s="50">
        <v>43954</v>
      </c>
      <c r="P1" s="50">
        <v>43955</v>
      </c>
      <c r="Q1" s="50">
        <v>43956</v>
      </c>
      <c r="R1" s="50">
        <v>43959</v>
      </c>
      <c r="S1" s="50">
        <v>43960</v>
      </c>
      <c r="T1" s="50">
        <v>43961</v>
      </c>
      <c r="U1" s="50">
        <v>43968</v>
      </c>
      <c r="V1" s="50">
        <v>43969</v>
      </c>
      <c r="W1" s="50">
        <v>43970</v>
      </c>
      <c r="X1" s="50">
        <v>43971</v>
      </c>
      <c r="Y1" s="50">
        <v>43972</v>
      </c>
      <c r="Z1" s="50">
        <v>43977</v>
      </c>
      <c r="AA1" s="50">
        <v>43978</v>
      </c>
      <c r="AB1" s="50">
        <v>43984</v>
      </c>
      <c r="AC1" s="50">
        <v>43985</v>
      </c>
      <c r="AD1" s="50">
        <v>43986</v>
      </c>
      <c r="AE1" s="50">
        <v>43987</v>
      </c>
      <c r="AF1" s="50">
        <v>43988</v>
      </c>
      <c r="AG1" s="50">
        <v>43989</v>
      </c>
      <c r="AH1" s="50">
        <v>43990</v>
      </c>
      <c r="AI1" s="50">
        <v>43991</v>
      </c>
      <c r="AJ1" s="50">
        <v>43992</v>
      </c>
      <c r="AK1" s="50">
        <v>43993</v>
      </c>
      <c r="AL1" s="50">
        <v>43994</v>
      </c>
      <c r="AM1" s="50">
        <v>43995</v>
      </c>
      <c r="AN1" s="50">
        <v>43996</v>
      </c>
      <c r="AO1" s="50">
        <v>43997</v>
      </c>
      <c r="AP1" s="50">
        <v>43998</v>
      </c>
      <c r="AQ1" s="50">
        <v>43999</v>
      </c>
      <c r="AR1" s="50">
        <v>44000</v>
      </c>
      <c r="AS1" s="50">
        <v>44001</v>
      </c>
    </row>
    <row r="2" spans="1:45" x14ac:dyDescent="0.3">
      <c r="A2" t="s">
        <v>104</v>
      </c>
      <c r="B2">
        <v>1710.3200000000002</v>
      </c>
      <c r="C2">
        <v>1710.3200000000002</v>
      </c>
      <c r="D2">
        <v>1744.1100000000001</v>
      </c>
      <c r="E2">
        <v>1735.89</v>
      </c>
      <c r="F2">
        <v>1712.48</v>
      </c>
      <c r="G2">
        <v>1720.33</v>
      </c>
      <c r="H2">
        <v>2644.37</v>
      </c>
      <c r="I2">
        <v>2652.67</v>
      </c>
      <c r="J2">
        <v>2640.44</v>
      </c>
      <c r="K2">
        <v>2656.08</v>
      </c>
      <c r="L2">
        <v>2662.25</v>
      </c>
      <c r="M2">
        <v>2641.17</v>
      </c>
      <c r="N2">
        <v>2641.17</v>
      </c>
      <c r="O2">
        <v>2696.19</v>
      </c>
      <c r="P2">
        <v>2729.23</v>
      </c>
      <c r="Q2">
        <v>2706.92</v>
      </c>
      <c r="R2">
        <v>2684.1400000000003</v>
      </c>
      <c r="S2">
        <v>2665.16</v>
      </c>
      <c r="T2">
        <v>2713</v>
      </c>
      <c r="U2">
        <v>2724.83</v>
      </c>
      <c r="V2">
        <v>2703.37</v>
      </c>
      <c r="W2">
        <v>2727.7</v>
      </c>
      <c r="X2">
        <v>2733.92</v>
      </c>
      <c r="Y2">
        <v>2689.29</v>
      </c>
      <c r="Z2">
        <v>2837.7150000000001</v>
      </c>
      <c r="AA2">
        <v>2935.23</v>
      </c>
      <c r="AB2">
        <v>2886.88</v>
      </c>
      <c r="AC2">
        <v>2947.2799999999997</v>
      </c>
      <c r="AD2">
        <v>2988.21</v>
      </c>
      <c r="AE2">
        <v>2915.3100000000004</v>
      </c>
      <c r="AF2">
        <v>2875.42</v>
      </c>
      <c r="AG2">
        <v>3112.22</v>
      </c>
    </row>
    <row r="3" spans="1:45" x14ac:dyDescent="0.3">
      <c r="A3" t="s">
        <v>105</v>
      </c>
      <c r="B3">
        <v>896.80967100000009</v>
      </c>
      <c r="C3">
        <v>904.21103200000005</v>
      </c>
      <c r="D3">
        <v>917.99268600000005</v>
      </c>
      <c r="E3">
        <v>954.49020400000006</v>
      </c>
      <c r="F3">
        <v>947.56512799999985</v>
      </c>
      <c r="G3">
        <v>968.99400863999995</v>
      </c>
      <c r="H3">
        <v>959.44131483399985</v>
      </c>
      <c r="I3">
        <v>926.88485446560014</v>
      </c>
      <c r="J3">
        <v>952.81810861559995</v>
      </c>
      <c r="K3">
        <v>955.23981437719999</v>
      </c>
      <c r="L3">
        <v>963.15581475759996</v>
      </c>
      <c r="M3">
        <v>994.16803537200008</v>
      </c>
      <c r="N3">
        <v>960.64187181119974</v>
      </c>
      <c r="O3">
        <v>960.64523181119966</v>
      </c>
      <c r="P3">
        <v>981.65842078320009</v>
      </c>
      <c r="Q3">
        <v>987.97616147879978</v>
      </c>
      <c r="R3">
        <v>987.95583747879982</v>
      </c>
      <c r="S3">
        <v>1016.4820854744</v>
      </c>
      <c r="T3">
        <v>1023.5696063043999</v>
      </c>
      <c r="U3">
        <v>1021.8456815064999</v>
      </c>
      <c r="V3">
        <v>1021.8356815064999</v>
      </c>
      <c r="W3">
        <v>1036.5315381831999</v>
      </c>
      <c r="X3">
        <v>1037.9858728114002</v>
      </c>
      <c r="Y3">
        <v>1046.5085869811001</v>
      </c>
      <c r="Z3">
        <v>1041.3364367327001</v>
      </c>
      <c r="AA3">
        <v>1042.5411725527001</v>
      </c>
      <c r="AB3">
        <v>1060.1301591933002</v>
      </c>
      <c r="AC3">
        <v>1073.7782733695999</v>
      </c>
      <c r="AD3">
        <v>1082.6328781017</v>
      </c>
      <c r="AE3">
        <v>1088.4912755820001</v>
      </c>
      <c r="AF3">
        <v>1088.4912755820001</v>
      </c>
      <c r="AG3">
        <v>1278.9141082455003</v>
      </c>
    </row>
    <row r="4" spans="1:45" x14ac:dyDescent="0.3">
      <c r="A4" t="s">
        <v>106</v>
      </c>
      <c r="B4">
        <v>1.61</v>
      </c>
      <c r="C4">
        <v>1.57</v>
      </c>
      <c r="D4">
        <v>1.56</v>
      </c>
      <c r="E4">
        <v>1.57</v>
      </c>
      <c r="F4">
        <v>1.58</v>
      </c>
      <c r="G4">
        <v>1.57</v>
      </c>
      <c r="H4">
        <v>1.59</v>
      </c>
      <c r="I4">
        <v>1.58</v>
      </c>
      <c r="J4">
        <v>1.58</v>
      </c>
      <c r="K4">
        <v>1.57</v>
      </c>
      <c r="L4">
        <v>1.54</v>
      </c>
      <c r="M4">
        <v>1.55</v>
      </c>
      <c r="N4">
        <v>1.56</v>
      </c>
      <c r="O4">
        <v>1.56</v>
      </c>
      <c r="P4">
        <v>1.55</v>
      </c>
      <c r="Q4">
        <v>1.57</v>
      </c>
      <c r="R4">
        <v>1.55</v>
      </c>
      <c r="S4">
        <v>1.53</v>
      </c>
      <c r="T4">
        <v>1.54</v>
      </c>
      <c r="U4">
        <v>1.56</v>
      </c>
      <c r="V4">
        <v>1.55</v>
      </c>
      <c r="W4">
        <v>1.53</v>
      </c>
      <c r="X4">
        <v>1.53</v>
      </c>
      <c r="Y4">
        <v>1.53</v>
      </c>
      <c r="Z4">
        <v>1.51</v>
      </c>
      <c r="AA4">
        <v>1.51</v>
      </c>
      <c r="AB4">
        <v>1.47</v>
      </c>
      <c r="AC4">
        <v>1.45</v>
      </c>
      <c r="AD4">
        <v>1.43</v>
      </c>
      <c r="AE4">
        <v>1.46</v>
      </c>
      <c r="AF4">
        <v>1.47</v>
      </c>
      <c r="AG4">
        <v>1.42</v>
      </c>
    </row>
    <row r="5" spans="1:45" x14ac:dyDescent="0.3">
      <c r="A5" t="s">
        <v>107</v>
      </c>
      <c r="B5">
        <v>1443.8635703100003</v>
      </c>
      <c r="C5">
        <v>1419.6113202400002</v>
      </c>
      <c r="D5">
        <v>1432.0685901600002</v>
      </c>
      <c r="E5">
        <v>1498.5496202800002</v>
      </c>
      <c r="F5">
        <v>1497.1529022399998</v>
      </c>
      <c r="G5">
        <v>1521.3205935648</v>
      </c>
      <c r="H5">
        <v>1525.5116905860598</v>
      </c>
      <c r="I5">
        <v>1464.4780700556482</v>
      </c>
      <c r="J5">
        <v>1505.4526116126481</v>
      </c>
      <c r="K5">
        <v>1499.726508572204</v>
      </c>
      <c r="L5">
        <v>1483.2599547267039</v>
      </c>
      <c r="M5">
        <v>1540.9604548266002</v>
      </c>
      <c r="N5">
        <v>1498.6013200254718</v>
      </c>
      <c r="O5">
        <v>1498.6065616254716</v>
      </c>
      <c r="P5">
        <v>1521.5705522139601</v>
      </c>
      <c r="Q5">
        <v>1551.1225735217158</v>
      </c>
      <c r="R5">
        <v>1531.3315480921397</v>
      </c>
      <c r="S5">
        <v>1555.2175907758322</v>
      </c>
      <c r="T5">
        <v>1576.2971937087759</v>
      </c>
      <c r="U5">
        <v>1594.0792631501399</v>
      </c>
      <c r="V5">
        <v>1583.8453063350748</v>
      </c>
      <c r="W5">
        <v>1585.8932534202959</v>
      </c>
      <c r="X5">
        <v>1588.1183854014423</v>
      </c>
      <c r="Y5">
        <v>1601.1581380810831</v>
      </c>
      <c r="Z5">
        <v>1572.4180194663772</v>
      </c>
      <c r="AA5">
        <v>1574.2371705545772</v>
      </c>
      <c r="AB5">
        <v>1558.3913340141512</v>
      </c>
      <c r="AC5">
        <v>1556.9784963859197</v>
      </c>
      <c r="AD5">
        <v>1548.1650156854309</v>
      </c>
      <c r="AE5">
        <v>1589.1972623497202</v>
      </c>
      <c r="AF5">
        <v>1600.08217510554</v>
      </c>
      <c r="AG5">
        <v>1816.0580337086103</v>
      </c>
    </row>
    <row r="6" spans="1:45" s="18" customFormat="1" x14ac:dyDescent="0.3">
      <c r="A6" s="18" t="s">
        <v>108</v>
      </c>
      <c r="B6" s="18">
        <v>3154.1835703100005</v>
      </c>
      <c r="C6" s="18">
        <v>3129.9313202400003</v>
      </c>
      <c r="D6" s="18">
        <v>3176.1785901600006</v>
      </c>
      <c r="E6" s="18">
        <v>3234.4396202800003</v>
      </c>
      <c r="F6" s="18">
        <v>3209.6329022399996</v>
      </c>
      <c r="G6" s="18">
        <v>3241.6505935648001</v>
      </c>
      <c r="H6" s="18">
        <v>4169.8816905860594</v>
      </c>
      <c r="I6" s="18">
        <v>4117.1480700556485</v>
      </c>
      <c r="J6" s="18">
        <v>4145.8926116126477</v>
      </c>
      <c r="K6" s="18">
        <v>4155.8065085722037</v>
      </c>
      <c r="L6" s="18">
        <v>4145.5099547267037</v>
      </c>
      <c r="M6" s="18">
        <v>4182.1304548265998</v>
      </c>
      <c r="N6" s="18">
        <v>4139.7713200254721</v>
      </c>
      <c r="O6" s="18">
        <v>4194.7965616254714</v>
      </c>
      <c r="P6" s="18">
        <v>4250.8005522139601</v>
      </c>
      <c r="Q6" s="18">
        <v>4258.0425735217159</v>
      </c>
      <c r="R6" s="18">
        <v>4215.4715480921404</v>
      </c>
      <c r="S6" s="18">
        <v>4220.3775907758318</v>
      </c>
      <c r="T6" s="18">
        <v>4289.2971937087759</v>
      </c>
      <c r="U6" s="18">
        <v>4318.9092631501399</v>
      </c>
      <c r="V6" s="18">
        <v>4287.2153063350743</v>
      </c>
      <c r="W6" s="18">
        <v>4313.5932534202957</v>
      </c>
      <c r="X6" s="18">
        <v>4322.0383854014426</v>
      </c>
      <c r="Y6" s="18">
        <v>4290.448138081083</v>
      </c>
      <c r="Z6" s="18">
        <v>4410.1330194663769</v>
      </c>
      <c r="AA6" s="18">
        <v>4509.467170554577</v>
      </c>
      <c r="AB6" s="18">
        <v>4445.2713340141509</v>
      </c>
      <c r="AC6" s="18">
        <v>4504.258496385919</v>
      </c>
      <c r="AD6" s="18">
        <v>4536.3750156854312</v>
      </c>
      <c r="AE6" s="18">
        <v>4504.5072623497208</v>
      </c>
      <c r="AF6" s="18">
        <v>4475.5021751055401</v>
      </c>
      <c r="AG6" s="18">
        <v>4928.2780337086097</v>
      </c>
    </row>
    <row r="7" spans="1:45" x14ac:dyDescent="0.3">
      <c r="A7" s="18" t="s">
        <v>109</v>
      </c>
      <c r="B7" s="51">
        <v>3345.26</v>
      </c>
      <c r="C7">
        <v>3345.26</v>
      </c>
      <c r="D7">
        <v>3345.26</v>
      </c>
      <c r="E7">
        <v>3345.26</v>
      </c>
      <c r="F7">
        <v>3345.26</v>
      </c>
      <c r="G7">
        <v>3345.26</v>
      </c>
      <c r="H7">
        <v>4358.58</v>
      </c>
      <c r="I7">
        <v>4358.58</v>
      </c>
      <c r="J7">
        <v>4358.58</v>
      </c>
      <c r="K7">
        <v>4358.58</v>
      </c>
      <c r="L7">
        <v>4358.58</v>
      </c>
      <c r="M7">
        <v>4358.58</v>
      </c>
      <c r="N7">
        <v>4358.58</v>
      </c>
      <c r="O7">
        <v>4358.58</v>
      </c>
      <c r="P7">
        <v>4358.58</v>
      </c>
      <c r="Q7">
        <v>4358.58</v>
      </c>
      <c r="R7">
        <v>4358.58</v>
      </c>
      <c r="S7">
        <v>4358.58</v>
      </c>
      <c r="T7">
        <v>4358.58</v>
      </c>
      <c r="U7">
        <v>4358.58</v>
      </c>
      <c r="V7">
        <v>4358.58</v>
      </c>
      <c r="W7">
        <v>4358.58</v>
      </c>
      <c r="X7">
        <v>4358.58</v>
      </c>
      <c r="Y7">
        <v>4358.58</v>
      </c>
      <c r="Z7">
        <v>4358.58</v>
      </c>
      <c r="AA7">
        <v>4358.58</v>
      </c>
      <c r="AB7">
        <v>4358.58</v>
      </c>
      <c r="AC7">
        <v>4358.58</v>
      </c>
      <c r="AD7">
        <v>4358.58</v>
      </c>
      <c r="AE7">
        <v>4358.58</v>
      </c>
      <c r="AF7">
        <v>4358.58</v>
      </c>
      <c r="AG7">
        <v>4360</v>
      </c>
    </row>
    <row r="8" spans="1:45" x14ac:dyDescent="0.3">
      <c r="A8" s="18" t="s">
        <v>110</v>
      </c>
      <c r="B8" s="52">
        <f t="shared" ref="B8" si="0">IF(B7="","",(B6-B7)/B7)</f>
        <v>-5.7118558703957149E-2</v>
      </c>
      <c r="C8" s="52">
        <f t="shared" ref="C8" si="1">IF(C7="","",(C6-C7)/C7)</f>
        <v>-6.4368294171454496E-2</v>
      </c>
      <c r="D8" s="52">
        <f t="shared" ref="D8:AL8" si="2">IF(D7="","",(D6-D7)/D7)</f>
        <v>-5.0543578029809237E-2</v>
      </c>
      <c r="E8" s="52">
        <f t="shared" si="2"/>
        <v>-3.3127583422514206E-2</v>
      </c>
      <c r="F8" s="52">
        <f t="shared" si="2"/>
        <v>-4.054306623700419E-2</v>
      </c>
      <c r="G8" s="52">
        <f t="shared" si="2"/>
        <v>-3.0972004099890611E-2</v>
      </c>
      <c r="H8" s="52">
        <f t="shared" si="2"/>
        <v>-4.3293528950699649E-2</v>
      </c>
      <c r="I8" s="52">
        <f t="shared" si="2"/>
        <v>-5.5392336482145879E-2</v>
      </c>
      <c r="J8" s="52">
        <f t="shared" si="2"/>
        <v>-4.8797403830456769E-2</v>
      </c>
      <c r="K8" s="52">
        <f t="shared" si="2"/>
        <v>-4.6522833452132623E-2</v>
      </c>
      <c r="L8" s="52">
        <f t="shared" si="2"/>
        <v>-4.8885197764706914E-2</v>
      </c>
      <c r="M8" s="52">
        <f t="shared" si="2"/>
        <v>-4.0483264084495436E-2</v>
      </c>
      <c r="N8" s="52">
        <f t="shared" si="2"/>
        <v>-5.0201827194757902E-2</v>
      </c>
      <c r="O8" s="52">
        <f t="shared" si="2"/>
        <v>-3.7577247262761834E-2</v>
      </c>
      <c r="P8" s="52">
        <f t="shared" si="2"/>
        <v>-2.4728110482322176E-2</v>
      </c>
      <c r="Q8" s="52">
        <f t="shared" si="2"/>
        <v>-2.3066555272195081E-2</v>
      </c>
      <c r="R8" s="52">
        <f t="shared" si="2"/>
        <v>-3.2833732983645933E-2</v>
      </c>
      <c r="S8" s="52">
        <f t="shared" si="2"/>
        <v>-3.170812723964414E-2</v>
      </c>
      <c r="T8" s="52">
        <f t="shared" si="2"/>
        <v>-1.5895728950994132E-2</v>
      </c>
      <c r="U8" s="52">
        <f t="shared" si="2"/>
        <v>-9.1017571892359622E-3</v>
      </c>
      <c r="V8" s="52">
        <f t="shared" si="2"/>
        <v>-1.6373381620831934E-2</v>
      </c>
      <c r="W8" s="52">
        <f t="shared" si="2"/>
        <v>-1.0321422706409939E-2</v>
      </c>
      <c r="X8" s="52">
        <f t="shared" si="2"/>
        <v>-8.3838347807215462E-3</v>
      </c>
      <c r="Y8" s="52">
        <f t="shared" si="2"/>
        <v>-1.5631664881433152E-2</v>
      </c>
      <c r="Z8" s="52">
        <f t="shared" si="2"/>
        <v>1.1827939252320023E-2</v>
      </c>
      <c r="AA8" s="52">
        <f t="shared" si="2"/>
        <v>3.4618424017587635E-2</v>
      </c>
      <c r="AB8" s="52">
        <f t="shared" si="2"/>
        <v>1.9889811363827423E-2</v>
      </c>
      <c r="AC8" s="52">
        <f t="shared" si="2"/>
        <v>3.3423384768874048E-2</v>
      </c>
      <c r="AD8" s="52">
        <f t="shared" si="2"/>
        <v>4.0791958776810633E-2</v>
      </c>
      <c r="AE8" s="52">
        <f t="shared" si="2"/>
        <v>3.3480459771237626E-2</v>
      </c>
      <c r="AF8" s="52">
        <f t="shared" si="2"/>
        <v>2.6825749465546164E-2</v>
      </c>
      <c r="AG8" s="52">
        <f t="shared" si="2"/>
        <v>0.13033899855702055</v>
      </c>
      <c r="AH8" s="52" t="str">
        <f t="shared" si="2"/>
        <v/>
      </c>
      <c r="AI8" s="52" t="str">
        <f t="shared" si="2"/>
        <v/>
      </c>
      <c r="AJ8" s="52" t="str">
        <f t="shared" si="2"/>
        <v/>
      </c>
      <c r="AK8" s="52" t="str">
        <f t="shared" si="2"/>
        <v/>
      </c>
      <c r="AL8" s="52" t="str">
        <f t="shared" si="2"/>
        <v/>
      </c>
      <c r="AM8" s="52" t="str">
        <f t="shared" ref="AM8:AS8" si="3">IF(AM7="","",(AM6-AM7)/AM7)</f>
        <v/>
      </c>
      <c r="AN8" s="52" t="str">
        <f t="shared" si="3"/>
        <v/>
      </c>
      <c r="AO8" s="52" t="str">
        <f t="shared" si="3"/>
        <v/>
      </c>
      <c r="AP8" s="52" t="str">
        <f t="shared" si="3"/>
        <v/>
      </c>
      <c r="AQ8" s="52" t="str">
        <f t="shared" si="3"/>
        <v/>
      </c>
      <c r="AR8" s="52" t="str">
        <f t="shared" si="3"/>
        <v/>
      </c>
      <c r="AS8" s="52" t="str">
        <f t="shared" si="3"/>
        <v/>
      </c>
    </row>
    <row r="9" spans="1:45" x14ac:dyDescent="0.3">
      <c r="A9" s="18" t="s">
        <v>111</v>
      </c>
      <c r="B9">
        <v>0</v>
      </c>
      <c r="C9">
        <v>0</v>
      </c>
      <c r="D9">
        <v>0</v>
      </c>
      <c r="E9">
        <v>0</v>
      </c>
      <c r="F9">
        <v>0</v>
      </c>
      <c r="G9">
        <v>-5.3455934167825649</v>
      </c>
      <c r="H9">
        <v>-5.3455934167825649</v>
      </c>
      <c r="I9">
        <v>-5.3455934167825649</v>
      </c>
      <c r="J9">
        <v>-5.3455934167825649</v>
      </c>
      <c r="K9">
        <v>-5.3455934167825649</v>
      </c>
      <c r="L9">
        <v>-5.3455934167825649</v>
      </c>
      <c r="M9">
        <v>-5.3455934167825649</v>
      </c>
      <c r="N9" s="74">
        <v>21.87</v>
      </c>
      <c r="O9" s="74">
        <v>21.81</v>
      </c>
      <c r="P9" s="74">
        <v>21.81</v>
      </c>
      <c r="Q9" s="74">
        <v>21.81</v>
      </c>
      <c r="R9" s="74">
        <v>21.81</v>
      </c>
      <c r="S9" s="74">
        <v>30.56</v>
      </c>
      <c r="T9" s="74">
        <v>30.56</v>
      </c>
      <c r="U9" s="74">
        <v>30.94</v>
      </c>
      <c r="V9" s="74">
        <v>30.94</v>
      </c>
      <c r="W9" s="74">
        <v>30.94</v>
      </c>
      <c r="X9" s="74">
        <v>30.94</v>
      </c>
      <c r="Y9" s="74">
        <v>30.94</v>
      </c>
      <c r="Z9" s="74">
        <v>30.94</v>
      </c>
      <c r="AA9" s="74">
        <v>30.94</v>
      </c>
      <c r="AB9" s="74">
        <v>30.94</v>
      </c>
      <c r="AC9" s="74">
        <v>30.94</v>
      </c>
      <c r="AD9" s="74">
        <v>33.82</v>
      </c>
      <c r="AE9" s="74">
        <v>34.29</v>
      </c>
      <c r="AF9" s="74">
        <v>34.29</v>
      </c>
      <c r="AG9" s="74">
        <v>34.29</v>
      </c>
    </row>
    <row r="10" spans="1:45" x14ac:dyDescent="0.3">
      <c r="A10" s="18" t="s">
        <v>112</v>
      </c>
      <c r="B10" s="52">
        <f t="shared" ref="B10" si="4">IF(B6="","",((B6+B9)-B7)/SUM(B11+B12))</f>
        <v>-5.7118558703957149E-2</v>
      </c>
      <c r="C10" s="52">
        <f t="shared" ref="C10" si="5">IF(C6="","",((C6+C9)-C7)/SUM(C11+C12))</f>
        <v>-6.4368294171454496E-2</v>
      </c>
      <c r="D10" s="52">
        <f t="shared" ref="D10:AL10" si="6">IF(D6="","",((D6+D9)-D7)/SUM(D11+D12))</f>
        <v>-5.0543578029809237E-2</v>
      </c>
      <c r="E10" s="52">
        <f t="shared" si="6"/>
        <v>-3.3127583422514206E-2</v>
      </c>
      <c r="F10" s="52">
        <f t="shared" si="6"/>
        <v>-4.054306623700419E-2</v>
      </c>
      <c r="G10" s="52">
        <f t="shared" si="6"/>
        <v>-3.2569964622176706E-2</v>
      </c>
      <c r="H10" s="52">
        <f t="shared" si="6"/>
        <v>-4.4519981927766107E-2</v>
      </c>
      <c r="I10" s="52">
        <f t="shared" si="6"/>
        <v>-5.6618789459212338E-2</v>
      </c>
      <c r="J10" s="52">
        <f t="shared" si="6"/>
        <v>-5.0023856807523227E-2</v>
      </c>
      <c r="K10" s="52">
        <f t="shared" si="6"/>
        <v>-4.7749286429199081E-2</v>
      </c>
      <c r="L10" s="52">
        <f t="shared" si="6"/>
        <v>-5.0111650741773373E-2</v>
      </c>
      <c r="M10" s="52">
        <f t="shared" si="6"/>
        <v>-4.1709717061561895E-2</v>
      </c>
      <c r="N10" s="52">
        <f t="shared" si="6"/>
        <v>-4.5184137947342481E-2</v>
      </c>
      <c r="O10" s="52">
        <f t="shared" si="6"/>
        <v>-3.2573323966642365E-2</v>
      </c>
      <c r="P10" s="52">
        <f t="shared" si="6"/>
        <v>-1.9724187186202703E-2</v>
      </c>
      <c r="Q10" s="52">
        <f t="shared" si="6"/>
        <v>-1.8062631976075612E-2</v>
      </c>
      <c r="R10" s="52">
        <f t="shared" si="6"/>
        <v>-2.7829809687526463E-2</v>
      </c>
      <c r="S10" s="52">
        <f t="shared" si="6"/>
        <v>-2.4696669379515288E-2</v>
      </c>
      <c r="T10" s="52">
        <f t="shared" si="6"/>
        <v>-8.8842710908652832E-3</v>
      </c>
      <c r="U10" s="52">
        <f t="shared" si="6"/>
        <v>-2.0031149708988885E-3</v>
      </c>
      <c r="V10" s="52">
        <f t="shared" si="6"/>
        <v>-9.274739402494861E-3</v>
      </c>
      <c r="W10" s="52">
        <f t="shared" si="6"/>
        <v>-3.2227804880728657E-3</v>
      </c>
      <c r="X10" s="52">
        <f t="shared" si="6"/>
        <v>-1.2851925623844731E-3</v>
      </c>
      <c r="Y10" s="52">
        <f t="shared" si="6"/>
        <v>-8.5330226630960793E-3</v>
      </c>
      <c r="Z10" s="52">
        <f t="shared" si="6"/>
        <v>1.8926581470657098E-2</v>
      </c>
      <c r="AA10" s="52">
        <f t="shared" si="6"/>
        <v>4.1717066235924707E-2</v>
      </c>
      <c r="AB10" s="52">
        <f t="shared" si="6"/>
        <v>2.6988453582164496E-2</v>
      </c>
      <c r="AC10" s="52">
        <f t="shared" si="6"/>
        <v>4.0522026987211128E-2</v>
      </c>
      <c r="AD10" s="52">
        <f t="shared" si="6"/>
        <v>4.8551366657358819E-2</v>
      </c>
      <c r="AE10" s="52">
        <f t="shared" si="6"/>
        <v>4.1347700936938368E-2</v>
      </c>
      <c r="AF10" s="52">
        <f t="shared" si="6"/>
        <v>3.4692990631246909E-2</v>
      </c>
      <c r="AG10" s="52">
        <f t="shared" si="6"/>
        <v>0.13820367745610312</v>
      </c>
      <c r="AH10" s="52" t="str">
        <f t="shared" si="6"/>
        <v/>
      </c>
      <c r="AI10" s="52" t="str">
        <f t="shared" si="6"/>
        <v/>
      </c>
      <c r="AJ10" s="52" t="str">
        <f t="shared" si="6"/>
        <v/>
      </c>
      <c r="AK10" s="52" t="str">
        <f t="shared" si="6"/>
        <v/>
      </c>
      <c r="AL10" s="52" t="str">
        <f t="shared" si="6"/>
        <v/>
      </c>
      <c r="AM10" s="52" t="str">
        <f t="shared" ref="AM10:AS10" si="7">IF(AM6="","",((AM6+AM9)-AM7)/SUM(AM11+AM12))</f>
        <v/>
      </c>
      <c r="AN10" s="52" t="str">
        <f t="shared" si="7"/>
        <v/>
      </c>
      <c r="AO10" s="52" t="str">
        <f t="shared" si="7"/>
        <v/>
      </c>
      <c r="AP10" s="52" t="str">
        <f t="shared" si="7"/>
        <v/>
      </c>
      <c r="AQ10" s="52" t="str">
        <f t="shared" si="7"/>
        <v/>
      </c>
      <c r="AR10" s="52" t="str">
        <f t="shared" si="7"/>
        <v/>
      </c>
      <c r="AS10" s="52" t="str">
        <f t="shared" si="7"/>
        <v/>
      </c>
    </row>
    <row r="11" spans="1:45" x14ac:dyDescent="0.3">
      <c r="A11" t="s">
        <v>115</v>
      </c>
      <c r="B11" s="53">
        <v>1945.26</v>
      </c>
      <c r="C11" s="53">
        <v>1945.26</v>
      </c>
      <c r="D11" s="53">
        <v>1945.26</v>
      </c>
      <c r="E11" s="53">
        <v>1945.26</v>
      </c>
      <c r="F11" s="53">
        <v>1945.26</v>
      </c>
      <c r="G11" s="53">
        <v>1945.26</v>
      </c>
      <c r="H11" s="53">
        <v>2958.58</v>
      </c>
      <c r="I11" s="53">
        <v>2958.58</v>
      </c>
      <c r="J11" s="53">
        <v>2958.58</v>
      </c>
      <c r="K11" s="53">
        <v>2958.58</v>
      </c>
      <c r="L11" s="53">
        <v>2958.58</v>
      </c>
      <c r="M11" s="53">
        <v>2958.58</v>
      </c>
      <c r="N11" s="53">
        <v>2958.58</v>
      </c>
      <c r="O11" s="53">
        <v>2958.58</v>
      </c>
      <c r="P11" s="53">
        <v>2958.58</v>
      </c>
      <c r="Q11" s="53">
        <v>2958.58</v>
      </c>
      <c r="R11" s="53">
        <v>2958.58</v>
      </c>
      <c r="S11" s="53">
        <v>2958.58</v>
      </c>
      <c r="T11" s="53">
        <v>2958.58</v>
      </c>
      <c r="U11" s="53">
        <v>2958.58</v>
      </c>
      <c r="V11" s="53">
        <v>2958.58</v>
      </c>
      <c r="W11" s="53">
        <v>2958.58</v>
      </c>
      <c r="X11" s="53">
        <v>2958.58</v>
      </c>
      <c r="Y11" s="53">
        <v>2958.58</v>
      </c>
      <c r="Z11" s="53">
        <v>2958.58</v>
      </c>
      <c r="AA11" s="53">
        <v>2958.58</v>
      </c>
      <c r="AB11" s="53">
        <v>2958.58</v>
      </c>
      <c r="AC11" s="53">
        <v>2958.58</v>
      </c>
      <c r="AD11" s="53">
        <v>2958.58</v>
      </c>
      <c r="AE11" s="53">
        <v>2958.58</v>
      </c>
      <c r="AF11" s="52">
        <v>2958.58</v>
      </c>
      <c r="AG11" s="52">
        <v>2958.58</v>
      </c>
      <c r="AH11" s="52"/>
      <c r="AI11" s="52"/>
      <c r="AJ11" s="52"/>
      <c r="AK11" s="52"/>
      <c r="AL11" s="52"/>
      <c r="AM11" s="52"/>
      <c r="AN11" s="52"/>
      <c r="AO11" s="52"/>
      <c r="AP11" s="52"/>
      <c r="AQ11" s="52"/>
      <c r="AR11" s="52"/>
      <c r="AS11" s="52"/>
    </row>
    <row r="12" spans="1:45" x14ac:dyDescent="0.3">
      <c r="A12" t="s">
        <v>116</v>
      </c>
      <c r="B12" s="53">
        <v>1400</v>
      </c>
      <c r="C12" s="53">
        <v>1400</v>
      </c>
      <c r="D12" s="53">
        <v>1400</v>
      </c>
      <c r="E12" s="53">
        <v>1400</v>
      </c>
      <c r="F12" s="53">
        <v>1400</v>
      </c>
      <c r="G12" s="53">
        <v>1400</v>
      </c>
      <c r="H12" s="53">
        <v>1400</v>
      </c>
      <c r="I12" s="53">
        <v>1400</v>
      </c>
      <c r="J12" s="53">
        <v>1400</v>
      </c>
      <c r="K12" s="53">
        <v>1400</v>
      </c>
      <c r="L12" s="53">
        <v>1400</v>
      </c>
      <c r="M12" s="53">
        <v>1400</v>
      </c>
      <c r="N12" s="53">
        <v>1400</v>
      </c>
      <c r="O12" s="53">
        <v>1400</v>
      </c>
      <c r="P12" s="53">
        <v>1400</v>
      </c>
      <c r="Q12" s="53">
        <v>1400</v>
      </c>
      <c r="R12" s="53">
        <v>1400</v>
      </c>
      <c r="S12" s="53">
        <v>1400</v>
      </c>
      <c r="T12" s="53">
        <v>1400</v>
      </c>
      <c r="U12" s="53">
        <v>1400</v>
      </c>
      <c r="V12" s="53">
        <v>1400</v>
      </c>
      <c r="W12" s="53">
        <v>1400</v>
      </c>
      <c r="X12" s="53">
        <v>1400</v>
      </c>
      <c r="Y12" s="53">
        <v>1400</v>
      </c>
      <c r="Z12" s="53">
        <v>1400</v>
      </c>
      <c r="AA12" s="53">
        <v>1400</v>
      </c>
      <c r="AB12" s="53">
        <v>1400</v>
      </c>
      <c r="AC12" s="53">
        <v>1400</v>
      </c>
      <c r="AD12" s="53">
        <v>1400</v>
      </c>
      <c r="AE12" s="53">
        <v>1400</v>
      </c>
      <c r="AF12" s="52">
        <v>1400</v>
      </c>
      <c r="AG12" s="52">
        <v>1401.42</v>
      </c>
      <c r="AH12" s="52"/>
      <c r="AI12" s="52"/>
      <c r="AJ12" s="52"/>
      <c r="AK12" s="52"/>
      <c r="AL12" s="52"/>
      <c r="AM12" s="52"/>
      <c r="AN12" s="52"/>
      <c r="AO12" s="52"/>
      <c r="AP12" s="52"/>
      <c r="AQ12" s="52"/>
      <c r="AR12" s="52"/>
      <c r="AS12" s="52"/>
    </row>
    <row r="13" spans="1:45" x14ac:dyDescent="0.3">
      <c r="A13" s="18"/>
    </row>
    <row r="14" spans="1:45" x14ac:dyDescent="0.3">
      <c r="A14" t="s">
        <v>113</v>
      </c>
      <c r="B14" s="51">
        <f>SUM('Australian Portfolio'!H2:H21)</f>
        <v>2958.58</v>
      </c>
      <c r="D14" t="s">
        <v>115</v>
      </c>
      <c r="E14">
        <f>SUMIF('Australian Transactions'!$B$2:$B$51,"BUY",'Australian Transactions'!$D$2:$D$51)</f>
        <v>2958.58</v>
      </c>
    </row>
    <row r="15" spans="1:45" x14ac:dyDescent="0.3">
      <c r="A15" s="51" t="s">
        <v>114</v>
      </c>
      <c r="B15">
        <f>SUM(A16:A169)</f>
        <v>1401.42</v>
      </c>
      <c r="D15" t="s">
        <v>116</v>
      </c>
      <c r="E15">
        <f>B15</f>
        <v>1401.42</v>
      </c>
    </row>
    <row r="16" spans="1:45" x14ac:dyDescent="0.3">
      <c r="A16">
        <f>1400</f>
        <v>1400</v>
      </c>
      <c r="B16" s="73">
        <f>'Completed Transactions'!$G$23+SUM(Dividend!B1:B85)+SUM('AUS Calculations'!P2:P21)+SUM('American Calculations'!P2:P21)</f>
        <v>34.291520332428703</v>
      </c>
    </row>
    <row r="17" spans="1:3" x14ac:dyDescent="0.3">
      <c r="A17">
        <v>1.42</v>
      </c>
    </row>
    <row r="18" spans="1:3" x14ac:dyDescent="0.3">
      <c r="C18" s="7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0947-0BEC-45B7-B091-55C1190CA40E}">
  <sheetPr codeName="Sheet1"/>
  <dimension ref="A1:E51"/>
  <sheetViews>
    <sheetView workbookViewId="0">
      <selection activeCell="E5" sqref="E5"/>
    </sheetView>
  </sheetViews>
  <sheetFormatPr defaultRowHeight="14.4" x14ac:dyDescent="0.3"/>
  <cols>
    <col min="1" max="2" width="11.109375" bestFit="1" customWidth="1"/>
    <col min="3" max="3" width="12" customWidth="1"/>
    <col min="4" max="4" width="16.77734375" bestFit="1" customWidth="1"/>
    <col min="5" max="5" width="14.6640625" bestFit="1" customWidth="1"/>
  </cols>
  <sheetData>
    <row r="1" spans="1:5" ht="15" thickBot="1" x14ac:dyDescent="0.35">
      <c r="A1" s="19" t="s">
        <v>71</v>
      </c>
      <c r="B1" s="20" t="s">
        <v>91</v>
      </c>
      <c r="C1" s="20" t="s">
        <v>69</v>
      </c>
      <c r="D1" s="20" t="s">
        <v>92</v>
      </c>
      <c r="E1" s="21" t="s">
        <v>93</v>
      </c>
    </row>
    <row r="2" spans="1:5" x14ac:dyDescent="0.3">
      <c r="A2" s="1" t="s">
        <v>81</v>
      </c>
      <c r="B2" s="2" t="s">
        <v>75</v>
      </c>
      <c r="C2" s="2">
        <v>19</v>
      </c>
      <c r="D2" s="2">
        <v>576.58000000000004</v>
      </c>
      <c r="E2" s="22">
        <f>IF(A2="","",D2/C2)</f>
        <v>30.346315789473685</v>
      </c>
    </row>
    <row r="3" spans="1:5" x14ac:dyDescent="0.3">
      <c r="A3" s="4" t="s">
        <v>82</v>
      </c>
      <c r="B3" s="5" t="s">
        <v>75</v>
      </c>
      <c r="C3" s="5">
        <v>36</v>
      </c>
      <c r="D3" s="5">
        <v>761.68</v>
      </c>
      <c r="E3" s="23">
        <f>IF(A3="","",D3/C3)</f>
        <v>21.157777777777778</v>
      </c>
    </row>
    <row r="4" spans="1:5" x14ac:dyDescent="0.3">
      <c r="A4" s="4" t="s">
        <v>94</v>
      </c>
      <c r="B4" s="5" t="s">
        <v>75</v>
      </c>
      <c r="C4" s="5">
        <v>10</v>
      </c>
      <c r="D4" s="5">
        <v>607</v>
      </c>
      <c r="E4" s="23">
        <f t="shared" ref="E4:E51" si="0">IF(A4="","",D4/C4)</f>
        <v>60.7</v>
      </c>
    </row>
    <row r="5" spans="1:5" x14ac:dyDescent="0.3">
      <c r="A5" s="4" t="s">
        <v>124</v>
      </c>
      <c r="B5" s="17" t="s">
        <v>75</v>
      </c>
      <c r="C5" s="17">
        <v>329</v>
      </c>
      <c r="D5" s="17">
        <v>1013.32</v>
      </c>
      <c r="E5" s="23">
        <f t="shared" si="0"/>
        <v>3.08</v>
      </c>
    </row>
    <row r="6" spans="1:5" x14ac:dyDescent="0.3">
      <c r="A6" s="4"/>
      <c r="B6" s="17"/>
      <c r="C6" s="17"/>
      <c r="D6" s="17"/>
      <c r="E6" s="23" t="str">
        <f t="shared" si="0"/>
        <v/>
      </c>
    </row>
    <row r="7" spans="1:5" x14ac:dyDescent="0.3">
      <c r="A7" s="4"/>
      <c r="B7" s="17"/>
      <c r="C7" s="17"/>
      <c r="D7" s="17"/>
      <c r="E7" s="23" t="str">
        <f t="shared" si="0"/>
        <v/>
      </c>
    </row>
    <row r="8" spans="1:5" x14ac:dyDescent="0.3">
      <c r="A8" s="4"/>
      <c r="B8" s="17"/>
      <c r="C8" s="17"/>
      <c r="D8" s="5"/>
      <c r="E8" s="23" t="str">
        <f t="shared" si="0"/>
        <v/>
      </c>
    </row>
    <row r="9" spans="1:5" x14ac:dyDescent="0.3">
      <c r="A9" s="4"/>
      <c r="B9" s="17"/>
      <c r="C9" s="17"/>
      <c r="D9" s="17"/>
      <c r="E9" s="23" t="str">
        <f t="shared" si="0"/>
        <v/>
      </c>
    </row>
    <row r="10" spans="1:5" x14ac:dyDescent="0.3">
      <c r="A10" s="4"/>
      <c r="B10" s="17"/>
      <c r="C10" s="17"/>
      <c r="D10" s="17"/>
      <c r="E10" s="23" t="str">
        <f t="shared" si="0"/>
        <v/>
      </c>
    </row>
    <row r="11" spans="1:5" x14ac:dyDescent="0.3">
      <c r="A11" s="4"/>
      <c r="B11" s="17"/>
      <c r="C11" s="17"/>
      <c r="D11" s="17"/>
      <c r="E11" s="23" t="str">
        <f t="shared" si="0"/>
        <v/>
      </c>
    </row>
    <row r="12" spans="1:5" x14ac:dyDescent="0.3">
      <c r="A12" s="4"/>
      <c r="B12" s="17"/>
      <c r="C12" s="17"/>
      <c r="D12" s="17"/>
      <c r="E12" s="23" t="str">
        <f t="shared" si="0"/>
        <v/>
      </c>
    </row>
    <row r="13" spans="1:5" x14ac:dyDescent="0.3">
      <c r="A13" s="4"/>
      <c r="B13" s="17"/>
      <c r="C13" s="17"/>
      <c r="D13" s="17"/>
      <c r="E13" s="23" t="str">
        <f t="shared" si="0"/>
        <v/>
      </c>
    </row>
    <row r="14" spans="1:5" x14ac:dyDescent="0.3">
      <c r="A14" s="4"/>
      <c r="B14" s="17"/>
      <c r="C14" s="17"/>
      <c r="D14" s="17"/>
      <c r="E14" s="23" t="str">
        <f t="shared" si="0"/>
        <v/>
      </c>
    </row>
    <row r="15" spans="1:5" x14ac:dyDescent="0.3">
      <c r="A15" s="4"/>
      <c r="B15" s="5"/>
      <c r="C15" s="5"/>
      <c r="D15" s="5"/>
      <c r="E15" s="23" t="str">
        <f t="shared" si="0"/>
        <v/>
      </c>
    </row>
    <row r="16" spans="1:5" x14ac:dyDescent="0.3">
      <c r="A16" s="4"/>
      <c r="B16" s="5"/>
      <c r="C16" s="5"/>
      <c r="D16" s="5"/>
      <c r="E16" s="23" t="str">
        <f t="shared" si="0"/>
        <v/>
      </c>
    </row>
    <row r="17" spans="1:5" x14ac:dyDescent="0.3">
      <c r="A17" s="4"/>
      <c r="B17" s="5"/>
      <c r="C17" s="5"/>
      <c r="D17" s="5"/>
      <c r="E17" s="23" t="str">
        <f t="shared" si="0"/>
        <v/>
      </c>
    </row>
    <row r="18" spans="1:5" x14ac:dyDescent="0.3">
      <c r="A18" s="4"/>
      <c r="B18" s="5"/>
      <c r="C18" s="5"/>
      <c r="D18" s="5"/>
      <c r="E18" s="23" t="str">
        <f t="shared" si="0"/>
        <v/>
      </c>
    </row>
    <row r="19" spans="1:5" x14ac:dyDescent="0.3">
      <c r="A19" s="4"/>
      <c r="B19" s="5"/>
      <c r="C19" s="5"/>
      <c r="D19" s="5"/>
      <c r="E19" s="23" t="str">
        <f t="shared" si="0"/>
        <v/>
      </c>
    </row>
    <row r="20" spans="1:5" x14ac:dyDescent="0.3">
      <c r="A20" s="4"/>
      <c r="B20" s="5"/>
      <c r="C20" s="5"/>
      <c r="D20" s="5"/>
      <c r="E20" s="23" t="str">
        <f t="shared" si="0"/>
        <v/>
      </c>
    </row>
    <row r="21" spans="1:5" x14ac:dyDescent="0.3">
      <c r="A21" s="4"/>
      <c r="B21" s="5"/>
      <c r="C21" s="5"/>
      <c r="D21" s="5"/>
      <c r="E21" s="23" t="str">
        <f t="shared" si="0"/>
        <v/>
      </c>
    </row>
    <row r="22" spans="1:5" x14ac:dyDescent="0.3">
      <c r="A22" s="4"/>
      <c r="B22" s="5"/>
      <c r="C22" s="5"/>
      <c r="D22" s="5"/>
      <c r="E22" s="23" t="str">
        <f t="shared" si="0"/>
        <v/>
      </c>
    </row>
    <row r="23" spans="1:5" x14ac:dyDescent="0.3">
      <c r="A23" s="4"/>
      <c r="B23" s="5"/>
      <c r="C23" s="5"/>
      <c r="D23" s="5"/>
      <c r="E23" s="23" t="str">
        <f t="shared" si="0"/>
        <v/>
      </c>
    </row>
    <row r="24" spans="1:5" x14ac:dyDescent="0.3">
      <c r="A24" s="4"/>
      <c r="B24" s="5"/>
      <c r="C24" s="5"/>
      <c r="D24" s="5"/>
      <c r="E24" s="23" t="str">
        <f t="shared" si="0"/>
        <v/>
      </c>
    </row>
    <row r="25" spans="1:5" x14ac:dyDescent="0.3">
      <c r="A25" s="4"/>
      <c r="B25" s="5"/>
      <c r="C25" s="5"/>
      <c r="D25" s="5"/>
      <c r="E25" s="23" t="str">
        <f t="shared" si="0"/>
        <v/>
      </c>
    </row>
    <row r="26" spans="1:5" x14ac:dyDescent="0.3">
      <c r="A26" s="4"/>
      <c r="B26" s="5"/>
      <c r="C26" s="5"/>
      <c r="D26" s="5"/>
      <c r="E26" s="23" t="str">
        <f t="shared" si="0"/>
        <v/>
      </c>
    </row>
    <row r="27" spans="1:5" x14ac:dyDescent="0.3">
      <c r="A27" s="4"/>
      <c r="B27" s="5"/>
      <c r="C27" s="5"/>
      <c r="D27" s="5"/>
      <c r="E27" s="23" t="str">
        <f t="shared" si="0"/>
        <v/>
      </c>
    </row>
    <row r="28" spans="1:5" x14ac:dyDescent="0.3">
      <c r="A28" s="4"/>
      <c r="B28" s="5"/>
      <c r="C28" s="5"/>
      <c r="D28" s="5"/>
      <c r="E28" s="23" t="str">
        <f t="shared" si="0"/>
        <v/>
      </c>
    </row>
    <row r="29" spans="1:5" x14ac:dyDescent="0.3">
      <c r="A29" s="4"/>
      <c r="B29" s="5"/>
      <c r="C29" s="5"/>
      <c r="D29" s="5"/>
      <c r="E29" s="23" t="str">
        <f t="shared" si="0"/>
        <v/>
      </c>
    </row>
    <row r="30" spans="1:5" x14ac:dyDescent="0.3">
      <c r="A30" s="4"/>
      <c r="B30" s="5"/>
      <c r="C30" s="5"/>
      <c r="D30" s="5"/>
      <c r="E30" s="23" t="str">
        <f t="shared" si="0"/>
        <v/>
      </c>
    </row>
    <row r="31" spans="1:5" x14ac:dyDescent="0.3">
      <c r="A31" s="4"/>
      <c r="B31" s="5"/>
      <c r="C31" s="5"/>
      <c r="D31" s="5"/>
      <c r="E31" s="23" t="str">
        <f t="shared" si="0"/>
        <v/>
      </c>
    </row>
    <row r="32" spans="1:5" x14ac:dyDescent="0.3">
      <c r="A32" s="4"/>
      <c r="B32" s="5"/>
      <c r="C32" s="5"/>
      <c r="D32" s="5"/>
      <c r="E32" s="23" t="str">
        <f t="shared" si="0"/>
        <v/>
      </c>
    </row>
    <row r="33" spans="1:5" x14ac:dyDescent="0.3">
      <c r="A33" s="4"/>
      <c r="B33" s="5"/>
      <c r="C33" s="5"/>
      <c r="D33" s="5"/>
      <c r="E33" s="23" t="str">
        <f t="shared" si="0"/>
        <v/>
      </c>
    </row>
    <row r="34" spans="1:5" x14ac:dyDescent="0.3">
      <c r="A34" s="4"/>
      <c r="B34" s="5"/>
      <c r="C34" s="5"/>
      <c r="D34" s="5"/>
      <c r="E34" s="23" t="str">
        <f t="shared" si="0"/>
        <v/>
      </c>
    </row>
    <row r="35" spans="1:5" x14ac:dyDescent="0.3">
      <c r="A35" s="4"/>
      <c r="B35" s="5"/>
      <c r="C35" s="5"/>
      <c r="D35" s="5"/>
      <c r="E35" s="23" t="str">
        <f t="shared" si="0"/>
        <v/>
      </c>
    </row>
    <row r="36" spans="1:5" x14ac:dyDescent="0.3">
      <c r="A36" s="4"/>
      <c r="B36" s="5"/>
      <c r="C36" s="5"/>
      <c r="D36" s="5"/>
      <c r="E36" s="23" t="str">
        <f t="shared" si="0"/>
        <v/>
      </c>
    </row>
    <row r="37" spans="1:5" x14ac:dyDescent="0.3">
      <c r="A37" s="4"/>
      <c r="B37" s="5"/>
      <c r="C37" s="5"/>
      <c r="D37" s="5"/>
      <c r="E37" s="23" t="str">
        <f t="shared" si="0"/>
        <v/>
      </c>
    </row>
    <row r="38" spans="1:5" x14ac:dyDescent="0.3">
      <c r="A38" s="4"/>
      <c r="B38" s="5"/>
      <c r="C38" s="5"/>
      <c r="D38" s="5"/>
      <c r="E38" s="23" t="str">
        <f t="shared" si="0"/>
        <v/>
      </c>
    </row>
    <row r="39" spans="1:5" x14ac:dyDescent="0.3">
      <c r="A39" s="4"/>
      <c r="B39" s="5"/>
      <c r="C39" s="5"/>
      <c r="D39" s="5"/>
      <c r="E39" s="23" t="str">
        <f t="shared" si="0"/>
        <v/>
      </c>
    </row>
    <row r="40" spans="1:5" x14ac:dyDescent="0.3">
      <c r="A40" s="4"/>
      <c r="B40" s="5"/>
      <c r="C40" s="5"/>
      <c r="D40" s="5"/>
      <c r="E40" s="23" t="str">
        <f t="shared" si="0"/>
        <v/>
      </c>
    </row>
    <row r="41" spans="1:5" x14ac:dyDescent="0.3">
      <c r="A41" s="4"/>
      <c r="B41" s="5"/>
      <c r="C41" s="5"/>
      <c r="D41" s="5"/>
      <c r="E41" s="23" t="str">
        <f t="shared" si="0"/>
        <v/>
      </c>
    </row>
    <row r="42" spans="1:5" x14ac:dyDescent="0.3">
      <c r="A42" s="4"/>
      <c r="B42" s="5"/>
      <c r="C42" s="5"/>
      <c r="D42" s="5"/>
      <c r="E42" s="23" t="str">
        <f t="shared" si="0"/>
        <v/>
      </c>
    </row>
    <row r="43" spans="1:5" x14ac:dyDescent="0.3">
      <c r="A43" s="4"/>
      <c r="B43" s="5"/>
      <c r="C43" s="5"/>
      <c r="D43" s="5"/>
      <c r="E43" s="23" t="str">
        <f t="shared" si="0"/>
        <v/>
      </c>
    </row>
    <row r="44" spans="1:5" x14ac:dyDescent="0.3">
      <c r="A44" s="4"/>
      <c r="B44" s="5"/>
      <c r="C44" s="5"/>
      <c r="D44" s="5"/>
      <c r="E44" s="23" t="str">
        <f t="shared" si="0"/>
        <v/>
      </c>
    </row>
    <row r="45" spans="1:5" x14ac:dyDescent="0.3">
      <c r="A45" s="4"/>
      <c r="B45" s="5"/>
      <c r="C45" s="5"/>
      <c r="D45" s="5"/>
      <c r="E45" s="23" t="str">
        <f t="shared" si="0"/>
        <v/>
      </c>
    </row>
    <row r="46" spans="1:5" x14ac:dyDescent="0.3">
      <c r="A46" s="4"/>
      <c r="B46" s="5"/>
      <c r="C46" s="5"/>
      <c r="D46" s="5"/>
      <c r="E46" s="23" t="str">
        <f t="shared" si="0"/>
        <v/>
      </c>
    </row>
    <row r="47" spans="1:5" x14ac:dyDescent="0.3">
      <c r="A47" s="4"/>
      <c r="B47" s="5"/>
      <c r="C47" s="5"/>
      <c r="D47" s="5"/>
      <c r="E47" s="23" t="str">
        <f t="shared" si="0"/>
        <v/>
      </c>
    </row>
    <row r="48" spans="1:5" x14ac:dyDescent="0.3">
      <c r="A48" s="4"/>
      <c r="B48" s="5"/>
      <c r="C48" s="5"/>
      <c r="D48" s="5"/>
      <c r="E48" s="23" t="str">
        <f t="shared" si="0"/>
        <v/>
      </c>
    </row>
    <row r="49" spans="1:5" x14ac:dyDescent="0.3">
      <c r="A49" s="4"/>
      <c r="B49" s="5"/>
      <c r="C49" s="5"/>
      <c r="D49" s="5"/>
      <c r="E49" s="23" t="str">
        <f t="shared" si="0"/>
        <v/>
      </c>
    </row>
    <row r="50" spans="1:5" x14ac:dyDescent="0.3">
      <c r="A50" s="4"/>
      <c r="B50" s="5"/>
      <c r="C50" s="5"/>
      <c r="D50" s="5"/>
      <c r="E50" s="23" t="str">
        <f t="shared" si="0"/>
        <v/>
      </c>
    </row>
    <row r="51" spans="1:5" ht="15" thickBot="1" x14ac:dyDescent="0.35">
      <c r="A51" s="7"/>
      <c r="B51" s="8"/>
      <c r="C51" s="8"/>
      <c r="D51" s="8"/>
      <c r="E51" s="24" t="str">
        <f t="shared" si="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3530D-339C-484C-8089-EA2657717CCB}">
  <sheetPr codeName="Sheet2"/>
  <dimension ref="A1:Y54"/>
  <sheetViews>
    <sheetView zoomScale="91" workbookViewId="0">
      <selection activeCell="A2" sqref="A2"/>
    </sheetView>
  </sheetViews>
  <sheetFormatPr defaultRowHeight="14.4" x14ac:dyDescent="0.3"/>
  <cols>
    <col min="2" max="2" width="10.6640625" bestFit="1" customWidth="1"/>
    <col min="3" max="3" width="15.88671875" bestFit="1" customWidth="1"/>
    <col min="4" max="4" width="11.6640625" customWidth="1"/>
    <col min="9" max="9" width="9.21875" bestFit="1" customWidth="1"/>
    <col min="10" max="10" width="15.77734375" bestFit="1" customWidth="1"/>
    <col min="11" max="11" width="16" bestFit="1" customWidth="1"/>
    <col min="12" max="12" width="13.33203125" bestFit="1" customWidth="1"/>
    <col min="13" max="13" width="11.21875" bestFit="1" customWidth="1"/>
    <col min="16" max="16" width="11" bestFit="1" customWidth="1"/>
    <col min="17" max="17" width="14.21875" bestFit="1" customWidth="1"/>
    <col min="18" max="18" width="17.6640625" customWidth="1"/>
    <col min="19" max="19" width="13.33203125" bestFit="1" customWidth="1"/>
    <col min="20" max="20" width="12.44140625" bestFit="1" customWidth="1"/>
    <col min="21" max="21" width="9.33203125" bestFit="1" customWidth="1"/>
    <col min="22" max="22" width="11.6640625" bestFit="1" customWidth="1"/>
    <col min="23" max="23" width="8.6640625" bestFit="1" customWidth="1"/>
    <col min="24" max="24" width="14.6640625" bestFit="1" customWidth="1"/>
    <col min="25" max="25" width="13" bestFit="1" customWidth="1"/>
  </cols>
  <sheetData>
    <row r="1" spans="1:25" ht="15" thickBot="1" x14ac:dyDescent="0.35">
      <c r="A1" s="10" t="s">
        <v>71</v>
      </c>
      <c r="B1" s="11" t="s">
        <v>74</v>
      </c>
      <c r="C1" s="11" t="s">
        <v>72</v>
      </c>
      <c r="D1" s="11" t="s">
        <v>83</v>
      </c>
      <c r="E1" s="11" t="s">
        <v>86</v>
      </c>
      <c r="F1" s="28"/>
      <c r="G1" s="11" t="s">
        <v>71</v>
      </c>
      <c r="H1" s="11" t="s">
        <v>89</v>
      </c>
      <c r="I1" s="11" t="s">
        <v>90</v>
      </c>
      <c r="J1" s="11" t="s">
        <v>88</v>
      </c>
      <c r="K1" s="11" t="s">
        <v>84</v>
      </c>
      <c r="L1" s="11" t="s">
        <v>85</v>
      </c>
      <c r="M1" s="29" t="s">
        <v>87</v>
      </c>
      <c r="N1" s="18"/>
      <c r="O1" s="10" t="s">
        <v>71</v>
      </c>
      <c r="P1" s="11" t="s">
        <v>87</v>
      </c>
      <c r="Q1" s="11" t="s">
        <v>69</v>
      </c>
      <c r="R1" s="11" t="s">
        <v>84</v>
      </c>
      <c r="S1" s="29" t="s">
        <v>96</v>
      </c>
      <c r="T1" s="18"/>
      <c r="U1" s="10" t="s">
        <v>71</v>
      </c>
      <c r="V1" s="11" t="s">
        <v>87</v>
      </c>
      <c r="W1" s="11" t="s">
        <v>69</v>
      </c>
      <c r="X1" s="11" t="s">
        <v>84</v>
      </c>
      <c r="Y1" s="29" t="s">
        <v>96</v>
      </c>
    </row>
    <row r="2" spans="1:25" x14ac:dyDescent="0.3">
      <c r="A2" s="1" t="str">
        <f>IF('Australian Transactions'!A2 = "","",'Australian Transactions'!A2)</f>
        <v>WBC</v>
      </c>
      <c r="B2" s="2" t="str">
        <f>IF('Australian Transactions'!B2 = "","",'Australian Transactions'!B2)</f>
        <v>BUY</v>
      </c>
      <c r="C2" s="2">
        <f>IF('Australian Transactions'!C2 = "","", IF($B2 = "BUY", 'Australian Transactions'!C2,-'Australian Transactions'!C2))</f>
        <v>19</v>
      </c>
      <c r="D2" s="2">
        <f>IF('Australian Transactions'!D2 = "","",IF($B2 = "BUY", 'Australian Transactions'!D2,-'Australian Transactions'!D2))</f>
        <v>576.58000000000004</v>
      </c>
      <c r="E2" s="2">
        <f>IFERROR(D2/C2,"")</f>
        <v>30.346315789473685</v>
      </c>
      <c r="F2" s="25"/>
      <c r="G2" s="2" t="str">
        <f>A2</f>
        <v>WBC</v>
      </c>
      <c r="H2" s="2">
        <f>IF(A2="","",COUNTIF($G$2:G2,G2))</f>
        <v>1</v>
      </c>
      <c r="I2" s="2" t="str">
        <f>_xlfn.CONCAT(G2,H2)</f>
        <v>WBC1</v>
      </c>
      <c r="J2" s="2">
        <f>IF(B2="BUY",C2,-C2)</f>
        <v>19</v>
      </c>
      <c r="K2" s="3">
        <f>IF(G2="","",IF(COUNTIF($G$2:G2,G2)&gt;1,SUMIF($A$2:A2,G2,$D$2:D2),D2) +SUMIF($G$2:G2,G2,$M$2:M2))</f>
        <v>576.58000000000004</v>
      </c>
      <c r="L2" s="3">
        <f>IF(G2="","",IFERROR(K2/J2,0))</f>
        <v>30.346315789473685</v>
      </c>
      <c r="M2" s="30">
        <f>IF(G2="","",IF(B2 = "BUY", 0,(E2-VLOOKUP(CONCATENATE(G2,(H2-1)),$I1:L$2,4,FALSE))*-C2))</f>
        <v>0</v>
      </c>
      <c r="O2" s="38" t="str" cm="1">
        <f t="array" ref="O2:O6">_xlfn.UNIQUE(G2:G51,FALSE,FALSE)</f>
        <v>WBC</v>
      </c>
      <c r="P2" s="39">
        <f>IF(O2="","",SUMIF($G$2:$G$51,O2,$M$2:$M$51))</f>
        <v>0</v>
      </c>
      <c r="Q2" s="39">
        <f>IF(O2="","",VLOOKUP(CONCATENATE(O2,(COUNTIF($G$2:$G$51,O2))),$I$2:$L$51,2,FALSE))</f>
        <v>19</v>
      </c>
      <c r="R2" s="39">
        <f>IF(O2="","",VLOOKUP(CONCATENATE(O2,(COUNTIF($G$2:$G$51,O2))),$I$2:$L$51,3,FALSE))</f>
        <v>576.58000000000004</v>
      </c>
      <c r="S2" s="43">
        <f>IF(O2="","",VLOOKUP(CONCATENATE(O2,(COUNTIF($G$2:$G$51,O2))),$I$2:$L$51,4,FALSE))</f>
        <v>30.346315789473685</v>
      </c>
      <c r="U2" s="38" t="str">
        <f>IF($Q2="","",IF($Q2&gt;0.0001,O2,""))</f>
        <v>WBC</v>
      </c>
      <c r="V2" s="39">
        <f t="shared" ref="V2:Y3" si="0">IF($Q2="","",IF($Q2&gt;0.0001,P2,""))</f>
        <v>0</v>
      </c>
      <c r="W2" s="39">
        <f t="shared" si="0"/>
        <v>19</v>
      </c>
      <c r="X2" s="39">
        <f t="shared" si="0"/>
        <v>576.58000000000004</v>
      </c>
      <c r="Y2" s="79">
        <f t="shared" si="0"/>
        <v>30.346315789473685</v>
      </c>
    </row>
    <row r="3" spans="1:25" x14ac:dyDescent="0.3">
      <c r="A3" s="4" t="str">
        <f>IF('Australian Transactions'!A3 = "","",'Australian Transactions'!A3)</f>
        <v>IOZ</v>
      </c>
      <c r="B3" s="5" t="str">
        <f>IF('Australian Transactions'!B3 = "","",'Australian Transactions'!B3)</f>
        <v>BUY</v>
      </c>
      <c r="C3" s="5">
        <f>IF('Australian Transactions'!C3 = "","", IF($B3 = "BUY", 'Australian Transactions'!C3,-'Australian Transactions'!C3))</f>
        <v>36</v>
      </c>
      <c r="D3" s="5">
        <f>IF('Australian Transactions'!D3 = "","",IF($B3 = "BUY", 'Australian Transactions'!D3,-'Australian Transactions'!D3))</f>
        <v>761.68</v>
      </c>
      <c r="E3" s="5">
        <f t="shared" ref="E3:E51" si="1">IFERROR(D3/C3,"")</f>
        <v>21.157777777777778</v>
      </c>
      <c r="F3" s="26"/>
      <c r="G3" s="5" t="str">
        <f t="shared" ref="G3:G6" si="2">A3</f>
        <v>IOZ</v>
      </c>
      <c r="H3" s="5">
        <f>IF(A3="","",COUNTIF($G$2:G3,G3))</f>
        <v>1</v>
      </c>
      <c r="I3" s="5" t="str">
        <f t="shared" ref="I3:I13" si="3">_xlfn.CONCAT(G3,H3)</f>
        <v>IOZ1</v>
      </c>
      <c r="J3" s="5">
        <f>IF(G3="","",IF(COUNTIF($G$2:G3,G3)&gt;1,SUMIF($A$2:A3,G3,$C$2:C3),C3))</f>
        <v>36</v>
      </c>
      <c r="K3" s="6">
        <f>IF(G3="","",IF(COUNTIF($G$2:G3,G3)&gt;1,SUMIF($A$2:A3,G3,$D$2:D3),D3) +SUMIF($G$2:G3,G3,$M$2:M3))</f>
        <v>761.68</v>
      </c>
      <c r="L3" s="6">
        <f t="shared" ref="L3:L51" si="4">IF(G3="","",IFERROR(K3/J3,0))</f>
        <v>21.157777777777778</v>
      </c>
      <c r="M3" s="31">
        <f>IF(G3="","",IF(B3 = "BUY", 0,(E3-VLOOKUP(CONCATENATE(G3,(H3-1)),$I2:L$2,4,FALSE))*-C3))</f>
        <v>0</v>
      </c>
      <c r="O3" s="40" t="str">
        <v>IOZ</v>
      </c>
      <c r="P3" s="17">
        <f t="shared" ref="P3:P51" si="5">IF(O3="","",SUMIF($G$2:$G$51,O3,$M$2:$M$51))</f>
        <v>0</v>
      </c>
      <c r="Q3" s="17">
        <f t="shared" ref="Q3:Q51" si="6">IF(O3="","",VLOOKUP(CONCATENATE(O3,(COUNTIF($G$2:$G$51,O3))),$I$2:$L$51,2,FALSE))</f>
        <v>36</v>
      </c>
      <c r="R3" s="17">
        <f t="shared" ref="R3:R51" si="7">IF(O3="","",VLOOKUP(CONCATENATE(O3,(COUNTIF($G$2:$G$51,O3))),$I$2:$L$51,3,FALSE))</f>
        <v>761.68</v>
      </c>
      <c r="S3" s="44">
        <f t="shared" ref="S3:S51" si="8">IF(O3="","",VLOOKUP(CONCATENATE(O3,(COUNTIF($G$2:$G$51,O3))),$I$2:$L$51,4,FALSE))</f>
        <v>21.157777777777778</v>
      </c>
      <c r="U3" s="40" t="str">
        <f t="shared" ref="U3" si="9">IF($Q3="","",IF($Q3&gt;0.0001,O3,""))</f>
        <v>IOZ</v>
      </c>
      <c r="V3" s="17">
        <f t="shared" si="0"/>
        <v>0</v>
      </c>
      <c r="W3" s="17">
        <f t="shared" si="0"/>
        <v>36</v>
      </c>
      <c r="X3" s="17">
        <f t="shared" si="0"/>
        <v>761.68</v>
      </c>
      <c r="Y3" s="80">
        <f t="shared" si="0"/>
        <v>21.157777777777778</v>
      </c>
    </row>
    <row r="4" spans="1:25" x14ac:dyDescent="0.3">
      <c r="A4" s="4" t="str">
        <f>IF('Australian Transactions'!A4 = "","",'Australian Transactions'!A4)</f>
        <v>CBA</v>
      </c>
      <c r="B4" s="5" t="str">
        <f>IF('Australian Transactions'!B4 = "","",'Australian Transactions'!B4)</f>
        <v>BUY</v>
      </c>
      <c r="C4" s="5">
        <f>IF('Australian Transactions'!C4 = "","", IF($B4 = "BUY", 'Australian Transactions'!C4,-'Australian Transactions'!C4))</f>
        <v>10</v>
      </c>
      <c r="D4" s="5">
        <f>IF('Australian Transactions'!D4 = "","",IF($B4 = "BUY", 'Australian Transactions'!D4,-'Australian Transactions'!D4))</f>
        <v>607</v>
      </c>
      <c r="E4" s="5">
        <f t="shared" si="1"/>
        <v>60.7</v>
      </c>
      <c r="F4" s="26"/>
      <c r="G4" s="5" t="str">
        <f t="shared" si="2"/>
        <v>CBA</v>
      </c>
      <c r="H4" s="5">
        <f>IF(A4="","",COUNTIF($G$2:G4,G4))</f>
        <v>1</v>
      </c>
      <c r="I4" s="5" t="str">
        <f t="shared" si="3"/>
        <v>CBA1</v>
      </c>
      <c r="J4" s="5">
        <f>IF(G4="","",IF(COUNTIF($G$2:G4,G4)&gt;1,SUMIF($A$2:A4,G4,$C$2:C4),C4))</f>
        <v>10</v>
      </c>
      <c r="K4" s="6">
        <f>IF(G4="","",IF(COUNTIF($G$2:G4,G4)&gt;1,SUMIF($A$2:A4,G4,$D$2:D4),D4) +SUMIF($G$2:G4,G4,$M$2:M4))</f>
        <v>607</v>
      </c>
      <c r="L4" s="6">
        <f t="shared" si="4"/>
        <v>60.7</v>
      </c>
      <c r="M4" s="31">
        <f>IF(G4="","",IF(B4 = "BUY", 0,(E4-VLOOKUP(CONCATENATE(G4,(H4-1)),$I$2:L3,4,FALSE))*-C4))</f>
        <v>0</v>
      </c>
      <c r="O4" s="40" t="str">
        <v>CBA</v>
      </c>
      <c r="P4" s="17">
        <f t="shared" si="5"/>
        <v>0</v>
      </c>
      <c r="Q4" s="17">
        <f t="shared" si="6"/>
        <v>10</v>
      </c>
      <c r="R4" s="17">
        <f t="shared" si="7"/>
        <v>607</v>
      </c>
      <c r="S4" s="44">
        <f t="shared" si="8"/>
        <v>60.7</v>
      </c>
      <c r="U4" s="40" t="str">
        <f t="shared" ref="U4:U21" si="10">IF($Q4="","",IF($Q4&gt;0.0001,O4,""))</f>
        <v>CBA</v>
      </c>
      <c r="V4" s="17">
        <f t="shared" ref="V4:V21" si="11">IF($Q4="","",IF($Q4&gt;0.0001,P4,""))</f>
        <v>0</v>
      </c>
      <c r="W4" s="17">
        <f t="shared" ref="W4:W21" si="12">IF($Q4="","",IF($Q4&gt;0.0001,Q4,""))</f>
        <v>10</v>
      </c>
      <c r="X4" s="17">
        <f t="shared" ref="X4:X21" si="13">IF($Q4="","",IF($Q4&gt;0.0001,R4,""))</f>
        <v>607</v>
      </c>
      <c r="Y4" s="80">
        <f t="shared" ref="Y4:Y21" si="14">IF($Q4="","",IF($Q4&gt;0.0001,S4,""))</f>
        <v>60.7</v>
      </c>
    </row>
    <row r="5" spans="1:25" x14ac:dyDescent="0.3">
      <c r="A5" s="4" t="str">
        <f>IF('Australian Transactions'!A5 = "","",'Australian Transactions'!A5)</f>
        <v>TLS</v>
      </c>
      <c r="B5" s="5" t="str">
        <f>IF('Australian Transactions'!B5 = "","",'Australian Transactions'!B5)</f>
        <v>BUY</v>
      </c>
      <c r="C5" s="5">
        <f>IF('Australian Transactions'!C5 = "","", IF($B5 = "BUY", 'Australian Transactions'!C5,-'Australian Transactions'!C5))</f>
        <v>329</v>
      </c>
      <c r="D5" s="5">
        <f>IF('Australian Transactions'!D5 = "","",IF($B5 = "BUY", 'Australian Transactions'!D5,-'Australian Transactions'!D5))</f>
        <v>1013.32</v>
      </c>
      <c r="E5" s="5">
        <f t="shared" si="1"/>
        <v>3.08</v>
      </c>
      <c r="F5" s="26"/>
      <c r="G5" s="5" t="str">
        <f t="shared" si="2"/>
        <v>TLS</v>
      </c>
      <c r="H5" s="5">
        <f>IF(A5="","",COUNTIF($G$2:G5,G5))</f>
        <v>1</v>
      </c>
      <c r="I5" s="5" t="str">
        <f t="shared" si="3"/>
        <v>TLS1</v>
      </c>
      <c r="J5" s="5">
        <f>IF(G5="","",IF(COUNTIF($G$2:G5,G5)&gt;1,SUMIF($A$2:A5,G5,$C$2:C5),C5))</f>
        <v>329</v>
      </c>
      <c r="K5" s="6">
        <f>IF(G5="","",IF(COUNTIF($G$2:G5,G5)&gt;1,SUMIF($A$2:A5,G5,$D$2:D5),D5) +SUMIF($G$2:G5,G5,$M$2:M5))</f>
        <v>1013.32</v>
      </c>
      <c r="L5" s="6">
        <f t="shared" si="4"/>
        <v>3.08</v>
      </c>
      <c r="M5" s="31">
        <f>IF(G5="","",IF(B5 = "BUY", 0,(E5-VLOOKUP(CONCATENATE(G5,(H5-1)),$I$2:L4,4,FALSE))*-C5))</f>
        <v>0</v>
      </c>
      <c r="O5" s="40" t="str">
        <v>TLS</v>
      </c>
      <c r="P5" s="17">
        <f t="shared" si="5"/>
        <v>0</v>
      </c>
      <c r="Q5" s="17">
        <f t="shared" si="6"/>
        <v>329</v>
      </c>
      <c r="R5" s="17">
        <f t="shared" si="7"/>
        <v>1013.32</v>
      </c>
      <c r="S5" s="44">
        <f t="shared" si="8"/>
        <v>3.08</v>
      </c>
      <c r="U5" s="40" t="str">
        <f t="shared" si="10"/>
        <v>TLS</v>
      </c>
      <c r="V5" s="17">
        <f t="shared" si="11"/>
        <v>0</v>
      </c>
      <c r="W5" s="17">
        <f t="shared" si="12"/>
        <v>329</v>
      </c>
      <c r="X5" s="17">
        <f t="shared" si="13"/>
        <v>1013.32</v>
      </c>
      <c r="Y5" s="80">
        <f t="shared" si="14"/>
        <v>3.08</v>
      </c>
    </row>
    <row r="6" spans="1:25" x14ac:dyDescent="0.3">
      <c r="A6" s="4" t="str">
        <f>IF('Australian Transactions'!A6 = "","",'Australian Transactions'!A6)</f>
        <v/>
      </c>
      <c r="B6" s="5" t="str">
        <f>IF('Australian Transactions'!B6 = "","",'Australian Transactions'!B6)</f>
        <v/>
      </c>
      <c r="C6" s="5" t="str">
        <f>IF('Australian Transactions'!C6 = "","", IF($B6 = "BUY", 'Australian Transactions'!C6,-'Australian Transactions'!C6))</f>
        <v/>
      </c>
      <c r="D6" s="5" t="str">
        <f>IF('Australian Transactions'!D6 = "","",IF($B6 = "BUY", 'Australian Transactions'!D6,-'Australian Transactions'!D6))</f>
        <v/>
      </c>
      <c r="E6" s="5" t="str">
        <f t="shared" si="1"/>
        <v/>
      </c>
      <c r="F6" s="26"/>
      <c r="G6" s="5" t="str">
        <f t="shared" si="2"/>
        <v/>
      </c>
      <c r="H6" s="5" t="str">
        <f>IF(A6="","",COUNTIF($G$2:G6,G6))</f>
        <v/>
      </c>
      <c r="I6" s="5" t="str">
        <f t="shared" si="3"/>
        <v/>
      </c>
      <c r="J6" s="5" t="str">
        <f>IF(G6="","",IF(COUNTIF($G$2:G6,G6)&gt;1,SUMIF($A$2:A6,G6,$C$2:C6),C6))</f>
        <v/>
      </c>
      <c r="K6" s="6" t="str">
        <f>IF(G6="","",IF(COUNTIF($G$2:G6,G6)&gt;1,SUMIF($A$2:A6,G6,$D$2:D6),D6) +SUMIF($G$2:G6,G6,$M$2:M6))</f>
        <v/>
      </c>
      <c r="L6" s="6" t="str">
        <f t="shared" si="4"/>
        <v/>
      </c>
      <c r="M6" s="31" t="str">
        <f>IF(G6="","",IF(B6 = "BUY", 0,(E6-VLOOKUP(CONCATENATE(G6,(H6-1)),$I$2:L5,4,FALSE))*-C6))</f>
        <v/>
      </c>
      <c r="O6" s="40" t="str">
        <v/>
      </c>
      <c r="P6" s="17" t="str">
        <f t="shared" si="5"/>
        <v/>
      </c>
      <c r="Q6" s="17" t="str">
        <f t="shared" si="6"/>
        <v/>
      </c>
      <c r="R6" s="17" t="str">
        <f t="shared" si="7"/>
        <v/>
      </c>
      <c r="S6" s="44" t="str">
        <f t="shared" si="8"/>
        <v/>
      </c>
      <c r="U6" s="40" t="str">
        <f t="shared" si="10"/>
        <v/>
      </c>
      <c r="V6" s="17" t="str">
        <f t="shared" si="11"/>
        <v/>
      </c>
      <c r="W6" s="17" t="str">
        <f t="shared" si="12"/>
        <v/>
      </c>
      <c r="X6" s="17" t="str">
        <f t="shared" si="13"/>
        <v/>
      </c>
      <c r="Y6" s="80" t="str">
        <f t="shared" si="14"/>
        <v/>
      </c>
    </row>
    <row r="7" spans="1:25" x14ac:dyDescent="0.3">
      <c r="A7" s="4" t="str">
        <f>IF('Australian Transactions'!A7 = "","",'Australian Transactions'!A7)</f>
        <v/>
      </c>
      <c r="B7" s="5" t="str">
        <f>IF('Australian Transactions'!B7 = "","",'Australian Transactions'!B7)</f>
        <v/>
      </c>
      <c r="C7" s="5" t="str">
        <f>IF('Australian Transactions'!C7 = "","", IF($B7 = "BUY", 'Australian Transactions'!C7,-'Australian Transactions'!C7))</f>
        <v/>
      </c>
      <c r="D7" s="5" t="str">
        <f>IF('Australian Transactions'!D7 = "","",IF($B7 = "BUY", 'Australian Transactions'!D7,-'Australian Transactions'!D7))</f>
        <v/>
      </c>
      <c r="E7" s="5" t="str">
        <f t="shared" si="1"/>
        <v/>
      </c>
      <c r="F7" s="26"/>
      <c r="G7" s="5" t="str">
        <f t="shared" ref="G7:G12" si="15">A7</f>
        <v/>
      </c>
      <c r="H7" s="5" t="str">
        <f>IF(A7="","",COUNTIF($G$2:G7,G7))</f>
        <v/>
      </c>
      <c r="I7" s="5" t="str">
        <f t="shared" si="3"/>
        <v/>
      </c>
      <c r="J7" s="5" t="str">
        <f>IF(G7="","",IF(COUNTIF($G$2:G7,G7)&gt;1,SUMIF($A$2:A7,G7,$C$2:C7),C7))</f>
        <v/>
      </c>
      <c r="K7" s="6" t="str">
        <f>IF(G7="","",IF(COUNTIF($G$2:G7,G7)&gt;1,SUMIF($A$2:A7,G7,$D$2:D7),D7) +SUMIF($G$2:G7,G7,$M$2:M7))</f>
        <v/>
      </c>
      <c r="L7" s="6" t="str">
        <f t="shared" si="4"/>
        <v/>
      </c>
      <c r="M7" s="31" t="str">
        <f>IF(G7="","",IF(B7 = "BUY", 0,(E7-VLOOKUP(CONCATENATE(G7,(H7-1)),$I$2:L6,4,FALSE))*-C7))</f>
        <v/>
      </c>
      <c r="O7" s="40"/>
      <c r="P7" s="17" t="str">
        <f t="shared" si="5"/>
        <v/>
      </c>
      <c r="Q7" s="17" t="str">
        <f t="shared" si="6"/>
        <v/>
      </c>
      <c r="R7" s="17" t="str">
        <f t="shared" si="7"/>
        <v/>
      </c>
      <c r="S7" s="44" t="str">
        <f t="shared" si="8"/>
        <v/>
      </c>
      <c r="U7" s="40" t="str">
        <f t="shared" si="10"/>
        <v/>
      </c>
      <c r="V7" s="17" t="str">
        <f t="shared" si="11"/>
        <v/>
      </c>
      <c r="W7" s="17" t="str">
        <f t="shared" si="12"/>
        <v/>
      </c>
      <c r="X7" s="17" t="str">
        <f t="shared" si="13"/>
        <v/>
      </c>
      <c r="Y7" s="80" t="str">
        <f t="shared" si="14"/>
        <v/>
      </c>
    </row>
    <row r="8" spans="1:25" x14ac:dyDescent="0.3">
      <c r="A8" s="4" t="str">
        <f>IF('Australian Transactions'!A8 = "","",'Australian Transactions'!A8)</f>
        <v/>
      </c>
      <c r="B8" s="5" t="str">
        <f>IF('Australian Transactions'!B8 = "","",'Australian Transactions'!B8)</f>
        <v/>
      </c>
      <c r="C8" s="5" t="str">
        <f>IF('Australian Transactions'!C8 = "","", IF($B8 = "BUY", 'Australian Transactions'!C8,-'Australian Transactions'!C8))</f>
        <v/>
      </c>
      <c r="D8" s="5" t="str">
        <f>IF('Australian Transactions'!D8 = "","",IF($B8 = "BUY", 'Australian Transactions'!D8,-'Australian Transactions'!D8))</f>
        <v/>
      </c>
      <c r="E8" s="5" t="str">
        <f t="shared" si="1"/>
        <v/>
      </c>
      <c r="F8" s="26"/>
      <c r="G8" s="5" t="str">
        <f t="shared" si="15"/>
        <v/>
      </c>
      <c r="H8" s="5" t="str">
        <f>IF(A8="","",COUNTIF($G$2:G8,G8))</f>
        <v/>
      </c>
      <c r="I8" s="5" t="str">
        <f t="shared" si="3"/>
        <v/>
      </c>
      <c r="J8" s="5" t="str">
        <f>IF(G8="","",IF(COUNTIF($G$2:G8,G8)&gt;1,SUMIF($A$2:A8,G8,$C$2:C8),C8))</f>
        <v/>
      </c>
      <c r="K8" s="6" t="str">
        <f>IF(G8="","",IF(COUNTIF($G$2:G8,G8)&gt;1,SUMIF($A$2:A8,G8,$D$2:D8),D8) +SUMIF($G$2:G8,G8,$M$2:M8))</f>
        <v/>
      </c>
      <c r="L8" s="6" t="str">
        <f t="shared" si="4"/>
        <v/>
      </c>
      <c r="M8" s="31" t="str">
        <f>IF(G8="","",IF(B8 = "BUY", 0,(E8-VLOOKUP(CONCATENATE(G8,(H8-1)),$I$2:L7,4,FALSE))*-C8))</f>
        <v/>
      </c>
      <c r="O8" s="40"/>
      <c r="P8" s="17" t="str">
        <f t="shared" si="5"/>
        <v/>
      </c>
      <c r="Q8" s="17" t="str">
        <f t="shared" si="6"/>
        <v/>
      </c>
      <c r="R8" s="17" t="str">
        <f t="shared" si="7"/>
        <v/>
      </c>
      <c r="S8" s="44" t="str">
        <f t="shared" si="8"/>
        <v/>
      </c>
      <c r="U8" s="40" t="str">
        <f t="shared" si="10"/>
        <v/>
      </c>
      <c r="V8" s="17" t="str">
        <f t="shared" si="11"/>
        <v/>
      </c>
      <c r="W8" s="17" t="str">
        <f t="shared" si="12"/>
        <v/>
      </c>
      <c r="X8" s="17" t="str">
        <f t="shared" si="13"/>
        <v/>
      </c>
      <c r="Y8" s="80" t="str">
        <f t="shared" si="14"/>
        <v/>
      </c>
    </row>
    <row r="9" spans="1:25" x14ac:dyDescent="0.3">
      <c r="A9" s="4" t="str">
        <f>IF('Australian Transactions'!A9 = "","",'Australian Transactions'!A9)</f>
        <v/>
      </c>
      <c r="B9" s="5" t="str">
        <f>IF('Australian Transactions'!B9 = "","",'Australian Transactions'!B9)</f>
        <v/>
      </c>
      <c r="C9" s="5" t="str">
        <f>IF('Australian Transactions'!C9 = "","", IF($B9 = "BUY", 'Australian Transactions'!C9,-'Australian Transactions'!C9))</f>
        <v/>
      </c>
      <c r="D9" s="5" t="str">
        <f>IF('Australian Transactions'!D9 = "","",IF($B9 = "BUY", 'Australian Transactions'!D9,-'Australian Transactions'!D9))</f>
        <v/>
      </c>
      <c r="E9" s="5" t="str">
        <f t="shared" si="1"/>
        <v/>
      </c>
      <c r="F9" s="26"/>
      <c r="G9" s="5" t="str">
        <f t="shared" si="15"/>
        <v/>
      </c>
      <c r="H9" s="5" t="str">
        <f>IF(A9="","",COUNTIF($G$2:G9,G9))</f>
        <v/>
      </c>
      <c r="I9" s="5" t="str">
        <f t="shared" si="3"/>
        <v/>
      </c>
      <c r="J9" s="5" t="str">
        <f>IF(G9="","",IF(COUNTIF($G$2:G9,G9)&gt;1,SUMIF($A$2:A9,G9,$C$2:C9),C9))</f>
        <v/>
      </c>
      <c r="K9" s="6" t="str">
        <f>IF(G9="","",IF(COUNTIF($G$2:G9,G9)&gt;1,SUMIF($A$2:A9,G9,$D$2:D9),D9) +SUMIF($G$2:G9,G9,$M$2:M9))</f>
        <v/>
      </c>
      <c r="L9" s="6" t="str">
        <f t="shared" si="4"/>
        <v/>
      </c>
      <c r="M9" s="31" t="str">
        <f>IF(G9="","",IF(B9 = "BUY", 0,(E9-VLOOKUP(CONCATENATE(G9,(H9-1)),$I$2:L8,4,FALSE))*-C9))</f>
        <v/>
      </c>
      <c r="O9" s="40"/>
      <c r="P9" s="17" t="str">
        <f t="shared" si="5"/>
        <v/>
      </c>
      <c r="Q9" s="17" t="str">
        <f t="shared" si="6"/>
        <v/>
      </c>
      <c r="R9" s="17" t="str">
        <f t="shared" si="7"/>
        <v/>
      </c>
      <c r="S9" s="44" t="str">
        <f t="shared" si="8"/>
        <v/>
      </c>
      <c r="U9" s="40" t="str">
        <f t="shared" si="10"/>
        <v/>
      </c>
      <c r="V9" s="17" t="str">
        <f t="shared" si="11"/>
        <v/>
      </c>
      <c r="W9" s="17" t="str">
        <f t="shared" si="12"/>
        <v/>
      </c>
      <c r="X9" s="17" t="str">
        <f t="shared" si="13"/>
        <v/>
      </c>
      <c r="Y9" s="80" t="str">
        <f t="shared" si="14"/>
        <v/>
      </c>
    </row>
    <row r="10" spans="1:25" x14ac:dyDescent="0.3">
      <c r="A10" s="4" t="str">
        <f>IF('Australian Transactions'!A10 = "","",'Australian Transactions'!A10)</f>
        <v/>
      </c>
      <c r="B10" s="5" t="str">
        <f>IF('Australian Transactions'!B10 = "","",'Australian Transactions'!B10)</f>
        <v/>
      </c>
      <c r="C10" s="5" t="str">
        <f>IF('Australian Transactions'!C10 = "","", IF($B10 = "BUY", 'Australian Transactions'!C10,-'Australian Transactions'!C10))</f>
        <v/>
      </c>
      <c r="D10" s="5" t="str">
        <f>IF('Australian Transactions'!D10 = "","",IF($B10 = "BUY", 'Australian Transactions'!D10,-'Australian Transactions'!D10))</f>
        <v/>
      </c>
      <c r="E10" s="5" t="str">
        <f t="shared" si="1"/>
        <v/>
      </c>
      <c r="F10" s="26"/>
      <c r="G10" s="5" t="str">
        <f t="shared" si="15"/>
        <v/>
      </c>
      <c r="H10" s="5" t="str">
        <f>IF(A10="","",COUNTIF($G$2:G10,G10))</f>
        <v/>
      </c>
      <c r="I10" s="5" t="str">
        <f t="shared" si="3"/>
        <v/>
      </c>
      <c r="J10" s="5" t="str">
        <f>IF(G10="","",IF(COUNTIF($G$2:G10,G10)&gt;1,SUMIF($A$2:A10,G10,$C$2:C10),C10))</f>
        <v/>
      </c>
      <c r="K10" s="6" t="str">
        <f>IF(G10="","",IF(COUNTIF($G$2:G10,G10)&gt;1,SUMIF($A$2:A10,G10,$D$2:D10),D10) +SUMIF($G$2:G10,G10,$M$2:M10))</f>
        <v/>
      </c>
      <c r="L10" s="6" t="str">
        <f t="shared" si="4"/>
        <v/>
      </c>
      <c r="M10" s="31" t="str">
        <f>IF(G10="","",IF(B10 = "BUY", 0,(E10-VLOOKUP(CONCATENATE(G10,(H10-1)),$I$2:L9,4,FALSE))*-C10))</f>
        <v/>
      </c>
      <c r="O10" s="40"/>
      <c r="P10" s="17" t="str">
        <f t="shared" si="5"/>
        <v/>
      </c>
      <c r="Q10" s="17" t="str">
        <f t="shared" si="6"/>
        <v/>
      </c>
      <c r="R10" s="17" t="str">
        <f t="shared" si="7"/>
        <v/>
      </c>
      <c r="S10" s="44" t="str">
        <f t="shared" si="8"/>
        <v/>
      </c>
      <c r="U10" s="40" t="str">
        <f t="shared" si="10"/>
        <v/>
      </c>
      <c r="V10" s="17" t="str">
        <f t="shared" si="11"/>
        <v/>
      </c>
      <c r="W10" s="17" t="str">
        <f t="shared" si="12"/>
        <v/>
      </c>
      <c r="X10" s="17" t="str">
        <f t="shared" si="13"/>
        <v/>
      </c>
      <c r="Y10" s="80" t="str">
        <f t="shared" si="14"/>
        <v/>
      </c>
    </row>
    <row r="11" spans="1:25" x14ac:dyDescent="0.3">
      <c r="A11" s="4" t="str">
        <f>IF('Australian Transactions'!A11 = "","",'Australian Transactions'!A11)</f>
        <v/>
      </c>
      <c r="B11" s="5" t="str">
        <f>IF('Australian Transactions'!B11 = "","",'Australian Transactions'!B11)</f>
        <v/>
      </c>
      <c r="C11" s="5" t="str">
        <f>IF('Australian Transactions'!C11 = "","", IF($B11 = "BUY", 'Australian Transactions'!C11,-'Australian Transactions'!C11))</f>
        <v/>
      </c>
      <c r="D11" s="5" t="str">
        <f>IF('Australian Transactions'!D11 = "","",IF($B11 = "BUY", 'Australian Transactions'!D11,-'Australian Transactions'!D11))</f>
        <v/>
      </c>
      <c r="E11" s="5" t="str">
        <f t="shared" si="1"/>
        <v/>
      </c>
      <c r="F11" s="26"/>
      <c r="G11" s="5" t="str">
        <f t="shared" si="15"/>
        <v/>
      </c>
      <c r="H11" s="5" t="str">
        <f>IF(A11="","",COUNTIF($G$2:G11,G11))</f>
        <v/>
      </c>
      <c r="I11" s="5" t="str">
        <f t="shared" si="3"/>
        <v/>
      </c>
      <c r="J11" s="5" t="str">
        <f>IF(G11="","",IF(COUNTIF($G$2:G11,G11)&gt;1,SUMIF($A$2:A11,G11,$C$2:C11),C11))</f>
        <v/>
      </c>
      <c r="K11" s="6" t="str">
        <f>IF(G11="","",IF(COUNTIF($G$2:G11,G11)&gt;1,SUMIF($A$2:A11,G11,$D$2:D11),D11) +SUMIF($G$2:G11,G11,$M$2:M11))</f>
        <v/>
      </c>
      <c r="L11" s="6" t="str">
        <f t="shared" si="4"/>
        <v/>
      </c>
      <c r="M11" s="31" t="str">
        <f>IF(G11="","",IF(B11 = "BUY", 0,(E11-VLOOKUP(CONCATENATE(G11,(H11-1)),$I$2:L10,4,FALSE))*-C11))</f>
        <v/>
      </c>
      <c r="O11" s="40"/>
      <c r="P11" s="17" t="str">
        <f t="shared" si="5"/>
        <v/>
      </c>
      <c r="Q11" s="17" t="str">
        <f t="shared" si="6"/>
        <v/>
      </c>
      <c r="R11" s="17" t="str">
        <f t="shared" si="7"/>
        <v/>
      </c>
      <c r="S11" s="44" t="str">
        <f t="shared" si="8"/>
        <v/>
      </c>
      <c r="U11" s="40" t="str">
        <f t="shared" si="10"/>
        <v/>
      </c>
      <c r="V11" s="17" t="str">
        <f t="shared" si="11"/>
        <v/>
      </c>
      <c r="W11" s="17" t="str">
        <f t="shared" si="12"/>
        <v/>
      </c>
      <c r="X11" s="17" t="str">
        <f t="shared" si="13"/>
        <v/>
      </c>
      <c r="Y11" s="80" t="str">
        <f t="shared" si="14"/>
        <v/>
      </c>
    </row>
    <row r="12" spans="1:25" x14ac:dyDescent="0.3">
      <c r="A12" s="4" t="str">
        <f>IF('Australian Transactions'!A12 = "","",'Australian Transactions'!A12)</f>
        <v/>
      </c>
      <c r="B12" s="5" t="str">
        <f>IF('Australian Transactions'!B12 = "","",'Australian Transactions'!B12)</f>
        <v/>
      </c>
      <c r="C12" s="5" t="str">
        <f>IF('Australian Transactions'!C12 = "","", IF($B12 = "BUY", 'Australian Transactions'!C12,-'Australian Transactions'!C12))</f>
        <v/>
      </c>
      <c r="D12" s="5" t="str">
        <f>IF('Australian Transactions'!D12 = "","",IF($B12 = "BUY", 'Australian Transactions'!D12,-'Australian Transactions'!D12))</f>
        <v/>
      </c>
      <c r="E12" s="5" t="str">
        <f t="shared" si="1"/>
        <v/>
      </c>
      <c r="F12" s="26"/>
      <c r="G12" s="5" t="str">
        <f t="shared" si="15"/>
        <v/>
      </c>
      <c r="H12" s="5" t="str">
        <f>IF(A12="","",COUNTIF($G$2:G12,G12))</f>
        <v/>
      </c>
      <c r="I12" s="5" t="str">
        <f t="shared" si="3"/>
        <v/>
      </c>
      <c r="J12" s="5" t="str">
        <f>IF(G12="","",IF(COUNTIF($G$2:G12,G12)&gt;1,SUMIF($A$2:A12,G12,$C$2:C12),C12))</f>
        <v/>
      </c>
      <c r="K12" s="6" t="str">
        <f>IF(G12="","",IF(COUNTIF($G$2:G12,G12)&gt;1,SUMIF($A$2:A12,G12,$D$2:D12),D12) +SUMIF($G$2:G12,G12,$M$2:M12))</f>
        <v/>
      </c>
      <c r="L12" s="6" t="str">
        <f t="shared" si="4"/>
        <v/>
      </c>
      <c r="M12" s="31" t="str">
        <f>IF(G12="","",IF(B12 = "BUY", 0,(E12-VLOOKUP(CONCATENATE(G12,(H12-1)),$I$2:L11,4,FALSE))*-C12))</f>
        <v/>
      </c>
      <c r="O12" s="40"/>
      <c r="P12" s="17" t="str">
        <f t="shared" si="5"/>
        <v/>
      </c>
      <c r="Q12" s="17" t="str">
        <f t="shared" si="6"/>
        <v/>
      </c>
      <c r="R12" s="17" t="str">
        <f t="shared" si="7"/>
        <v/>
      </c>
      <c r="S12" s="44" t="str">
        <f t="shared" si="8"/>
        <v/>
      </c>
      <c r="U12" s="40" t="str">
        <f t="shared" si="10"/>
        <v/>
      </c>
      <c r="V12" s="17" t="str">
        <f t="shared" si="11"/>
        <v/>
      </c>
      <c r="W12" s="17" t="str">
        <f t="shared" si="12"/>
        <v/>
      </c>
      <c r="X12" s="17" t="str">
        <f t="shared" si="13"/>
        <v/>
      </c>
      <c r="Y12" s="80" t="str">
        <f t="shared" si="14"/>
        <v/>
      </c>
    </row>
    <row r="13" spans="1:25" x14ac:dyDescent="0.3">
      <c r="A13" s="4" t="str">
        <f>IF('Australian Transactions'!A13 = "","",'Australian Transactions'!A13)</f>
        <v/>
      </c>
      <c r="B13" s="5" t="str">
        <f>IF('Australian Transactions'!B13 = "","",'Australian Transactions'!B13)</f>
        <v/>
      </c>
      <c r="C13" s="5" t="str">
        <f>IF('Australian Transactions'!C13 = "","", IF($B13 = "BUY", 'Australian Transactions'!C13,-'Australian Transactions'!C13))</f>
        <v/>
      </c>
      <c r="D13" s="5" t="str">
        <f>IF('Australian Transactions'!D13 = "","",IF($B13 = "BUY", 'Australian Transactions'!D13,-'Australian Transactions'!D13))</f>
        <v/>
      </c>
      <c r="E13" s="5" t="str">
        <f t="shared" si="1"/>
        <v/>
      </c>
      <c r="F13" s="26"/>
      <c r="G13" s="5" t="str">
        <f t="shared" ref="G13:G51" si="16">A13</f>
        <v/>
      </c>
      <c r="H13" s="5" t="str">
        <f>IF(A13="","",COUNTIF($G$2:G13,G13))</f>
        <v/>
      </c>
      <c r="I13" s="5" t="str">
        <f t="shared" si="3"/>
        <v/>
      </c>
      <c r="J13" s="5" t="str">
        <f>IF(G13="","",IF(COUNTIF($G$2:G13,G13)&gt;1,SUMIF($A$2:A13,G13,$C$2:C13),C13))</f>
        <v/>
      </c>
      <c r="K13" s="6" t="str">
        <f>IF(G13="","",IF(COUNTIF($G$2:G13,G13)&gt;1,SUMIF($A$2:A13,G13,$D$2:D13),D13) +SUMIF($G$2:G13,G13,$M$2:M13))</f>
        <v/>
      </c>
      <c r="L13" s="6" t="str">
        <f t="shared" si="4"/>
        <v/>
      </c>
      <c r="M13" s="31" t="str">
        <f>IF(G13="","",IF(B13 = "BUY", 0,(E13-VLOOKUP(CONCATENATE(G13,(H13-1)),$I$2:L12,4,FALSE))*-C13))</f>
        <v/>
      </c>
      <c r="O13" s="40"/>
      <c r="P13" s="17" t="str">
        <f t="shared" si="5"/>
        <v/>
      </c>
      <c r="Q13" s="17" t="str">
        <f t="shared" si="6"/>
        <v/>
      </c>
      <c r="R13" s="17" t="str">
        <f t="shared" si="7"/>
        <v/>
      </c>
      <c r="S13" s="44" t="str">
        <f t="shared" si="8"/>
        <v/>
      </c>
      <c r="U13" s="40" t="str">
        <f t="shared" si="10"/>
        <v/>
      </c>
      <c r="V13" s="17" t="str">
        <f t="shared" si="11"/>
        <v/>
      </c>
      <c r="W13" s="17" t="str">
        <f t="shared" si="12"/>
        <v/>
      </c>
      <c r="X13" s="17" t="str">
        <f t="shared" si="13"/>
        <v/>
      </c>
      <c r="Y13" s="80" t="str">
        <f t="shared" si="14"/>
        <v/>
      </c>
    </row>
    <row r="14" spans="1:25" x14ac:dyDescent="0.3">
      <c r="A14" s="4" t="str">
        <f>IF('Australian Transactions'!A14 = "","",'Australian Transactions'!A14)</f>
        <v/>
      </c>
      <c r="B14" s="5" t="str">
        <f>IF('Australian Transactions'!B14 = "","",'Australian Transactions'!B14)</f>
        <v/>
      </c>
      <c r="C14" s="5" t="str">
        <f>IF('Australian Transactions'!C14 = "","", IF($B14 = "BUY", 'Australian Transactions'!C14,-'Australian Transactions'!C14))</f>
        <v/>
      </c>
      <c r="D14" s="5" t="str">
        <f>IF('Australian Transactions'!D14 = "","",IF($B14 = "BUY", 'Australian Transactions'!D14,-'Australian Transactions'!D14))</f>
        <v/>
      </c>
      <c r="E14" s="5" t="str">
        <f t="shared" si="1"/>
        <v/>
      </c>
      <c r="F14" s="26"/>
      <c r="G14" s="5" t="str">
        <f t="shared" si="16"/>
        <v/>
      </c>
      <c r="H14" s="5" t="str">
        <f>IF(A14="","",COUNTIF($G$2:G14,G14))</f>
        <v/>
      </c>
      <c r="I14" s="5" t="str">
        <f>_xlfn.CONCAT(G14,H14)</f>
        <v/>
      </c>
      <c r="J14" s="5" t="str">
        <f>IF(G14="","",IF(COUNTIF($G$2:G14,G14)&gt;1,SUMIF($A$2:A14,G14,$C$2:C14),C14))</f>
        <v/>
      </c>
      <c r="K14" s="6" t="str">
        <f>IF(G14="","",IF(COUNTIF($G$2:G14,G14)&gt;1,SUMIF($A$2:A14,G14,$D$2:D14),D14) +SUMIF($G$2:G14,G14,$M$2:M14))</f>
        <v/>
      </c>
      <c r="L14" s="6" t="str">
        <f t="shared" si="4"/>
        <v/>
      </c>
      <c r="M14" s="31" t="str">
        <f>IF(G14="","",IF(B14 = "BUY", 0,(E14-VLOOKUP(CONCATENATE(G14,(H14-1)),$I$2:L13,4,FALSE))*-C14))</f>
        <v/>
      </c>
      <c r="O14" s="40"/>
      <c r="P14" s="17" t="str">
        <f t="shared" si="5"/>
        <v/>
      </c>
      <c r="Q14" s="17" t="str">
        <f t="shared" si="6"/>
        <v/>
      </c>
      <c r="R14" s="17" t="str">
        <f t="shared" si="7"/>
        <v/>
      </c>
      <c r="S14" s="44" t="str">
        <f t="shared" si="8"/>
        <v/>
      </c>
      <c r="U14" s="40" t="str">
        <f t="shared" si="10"/>
        <v/>
      </c>
      <c r="V14" s="17" t="str">
        <f t="shared" si="11"/>
        <v/>
      </c>
      <c r="W14" s="17" t="str">
        <f t="shared" si="12"/>
        <v/>
      </c>
      <c r="X14" s="17" t="str">
        <f t="shared" si="13"/>
        <v/>
      </c>
      <c r="Y14" s="80" t="str">
        <f t="shared" si="14"/>
        <v/>
      </c>
    </row>
    <row r="15" spans="1:25" x14ac:dyDescent="0.3">
      <c r="A15" s="4" t="str">
        <f>IF('Australian Transactions'!A15 = "","",'Australian Transactions'!A15)</f>
        <v/>
      </c>
      <c r="B15" s="5" t="str">
        <f>IF('Australian Transactions'!B15 = "","",'Australian Transactions'!B15)</f>
        <v/>
      </c>
      <c r="C15" s="5" t="str">
        <f>IF('Australian Transactions'!C15 = "","", IF($B15 = "BUY", 'Australian Transactions'!C15,-'Australian Transactions'!C15))</f>
        <v/>
      </c>
      <c r="D15" s="5" t="str">
        <f>IF('Australian Transactions'!D15 = "","",IF($B15 = "BUY", 'Australian Transactions'!D15,-'Australian Transactions'!D15))</f>
        <v/>
      </c>
      <c r="E15" s="5" t="str">
        <f t="shared" si="1"/>
        <v/>
      </c>
      <c r="F15" s="26"/>
      <c r="G15" s="5" t="str">
        <f t="shared" si="16"/>
        <v/>
      </c>
      <c r="H15" s="5" t="str">
        <f>IF(A15="","",COUNTIF($G$2:G15,G15))</f>
        <v/>
      </c>
      <c r="I15" s="5" t="str">
        <f t="shared" ref="I15:I51" si="17">_xlfn.CONCAT(G15,H15)</f>
        <v/>
      </c>
      <c r="J15" s="5" t="str">
        <f>IF(G15="","",IF(COUNTIF($G$2:G15,G15)&gt;1,SUMIF($A$2:A15,G15,$C$2:C15),C15))</f>
        <v/>
      </c>
      <c r="K15" s="6" t="str">
        <f>IF(G15="","",IF(COUNTIF($G$2:G15,G15)&gt;1,SUMIF($A$2:A15,G15,$D$2:D15),D15) +SUMIF($G$2:G15,G15,$M$2:M15))</f>
        <v/>
      </c>
      <c r="L15" s="6" t="str">
        <f t="shared" si="4"/>
        <v/>
      </c>
      <c r="M15" s="31" t="str">
        <f>IF(G15="","",IF(B15 = "BUY", 0,(E15-VLOOKUP(CONCATENATE(G15,(H15-1)),$I$2:L14,4,FALSE))*-C15))</f>
        <v/>
      </c>
      <c r="O15" s="40"/>
      <c r="P15" s="17" t="str">
        <f t="shared" si="5"/>
        <v/>
      </c>
      <c r="Q15" s="17" t="str">
        <f t="shared" si="6"/>
        <v/>
      </c>
      <c r="R15" s="17" t="str">
        <f t="shared" si="7"/>
        <v/>
      </c>
      <c r="S15" s="44" t="str">
        <f t="shared" si="8"/>
        <v/>
      </c>
      <c r="U15" s="40" t="str">
        <f t="shared" si="10"/>
        <v/>
      </c>
      <c r="V15" s="17" t="str">
        <f t="shared" si="11"/>
        <v/>
      </c>
      <c r="W15" s="17" t="str">
        <f t="shared" si="12"/>
        <v/>
      </c>
      <c r="X15" s="17" t="str">
        <f t="shared" si="13"/>
        <v/>
      </c>
      <c r="Y15" s="80" t="str">
        <f t="shared" si="14"/>
        <v/>
      </c>
    </row>
    <row r="16" spans="1:25" x14ac:dyDescent="0.3">
      <c r="A16" s="4" t="str">
        <f>IF('Australian Transactions'!A16 = "","",'Australian Transactions'!A16)</f>
        <v/>
      </c>
      <c r="B16" s="5" t="str">
        <f>IF('Australian Transactions'!B16 = "","",'Australian Transactions'!B16)</f>
        <v/>
      </c>
      <c r="C16" s="5" t="str">
        <f>IF('Australian Transactions'!C16 = "","", IF($B16 = "BUY", 'Australian Transactions'!C16,-'Australian Transactions'!C16))</f>
        <v/>
      </c>
      <c r="D16" s="5" t="str">
        <f>IF('Australian Transactions'!D16 = "","",IF($B16 = "BUY", 'Australian Transactions'!D16,-'Australian Transactions'!D16))</f>
        <v/>
      </c>
      <c r="E16" s="5" t="str">
        <f t="shared" si="1"/>
        <v/>
      </c>
      <c r="F16" s="26"/>
      <c r="G16" s="5" t="str">
        <f t="shared" si="16"/>
        <v/>
      </c>
      <c r="H16" s="5" t="str">
        <f>IF(A16="","",COUNTIF($G$2:G16,G16))</f>
        <v/>
      </c>
      <c r="I16" s="5" t="str">
        <f t="shared" si="17"/>
        <v/>
      </c>
      <c r="J16" s="5" t="str">
        <f>IF(G16="","",IF(COUNTIF($G$2:G16,G16)&gt;1,SUMIF($A$2:A16,G16,$C$2:C16),C16))</f>
        <v/>
      </c>
      <c r="K16" s="6" t="str">
        <f>IF(G16="","",IF(COUNTIF($G$2:G16,G16)&gt;1,SUMIF($A$2:A16,G16,$D$2:D16),D16) +SUMIF($G$2:G16,G16,$M$2:M16))</f>
        <v/>
      </c>
      <c r="L16" s="6" t="str">
        <f t="shared" si="4"/>
        <v/>
      </c>
      <c r="M16" s="31" t="str">
        <f>IF(G16="","",IF(B16 = "BUY", 0,(E16-VLOOKUP(CONCATENATE(G16,(H16-1)),$I$2:L15,4,FALSE))*-C16))</f>
        <v/>
      </c>
      <c r="O16" s="40"/>
      <c r="P16" s="17" t="str">
        <f t="shared" si="5"/>
        <v/>
      </c>
      <c r="Q16" s="17" t="str">
        <f t="shared" si="6"/>
        <v/>
      </c>
      <c r="R16" s="17" t="str">
        <f t="shared" si="7"/>
        <v/>
      </c>
      <c r="S16" s="44" t="str">
        <f t="shared" si="8"/>
        <v/>
      </c>
      <c r="U16" s="40" t="str">
        <f t="shared" si="10"/>
        <v/>
      </c>
      <c r="V16" s="17" t="str">
        <f t="shared" si="11"/>
        <v/>
      </c>
      <c r="W16" s="17" t="str">
        <f t="shared" si="12"/>
        <v/>
      </c>
      <c r="X16" s="17" t="str">
        <f t="shared" si="13"/>
        <v/>
      </c>
      <c r="Y16" s="80" t="str">
        <f t="shared" si="14"/>
        <v/>
      </c>
    </row>
    <row r="17" spans="1:25" x14ac:dyDescent="0.3">
      <c r="A17" s="4" t="str">
        <f>IF('Australian Transactions'!A17 = "","",'Australian Transactions'!A17)</f>
        <v/>
      </c>
      <c r="B17" s="5" t="str">
        <f>IF('Australian Transactions'!B17 = "","",'Australian Transactions'!B17)</f>
        <v/>
      </c>
      <c r="C17" s="5" t="str">
        <f>IF('Australian Transactions'!C17 = "","", IF($B17 = "BUY", 'Australian Transactions'!C17,-'Australian Transactions'!C17))</f>
        <v/>
      </c>
      <c r="D17" s="5" t="str">
        <f>IF('Australian Transactions'!D17 = "","",IF($B17 = "BUY", 'Australian Transactions'!D17,-'Australian Transactions'!D17))</f>
        <v/>
      </c>
      <c r="E17" s="5" t="str">
        <f t="shared" si="1"/>
        <v/>
      </c>
      <c r="F17" s="26"/>
      <c r="G17" s="5" t="str">
        <f t="shared" si="16"/>
        <v/>
      </c>
      <c r="H17" s="5" t="str">
        <f>IF(A17="","",COUNTIF($G$2:G17,G17))</f>
        <v/>
      </c>
      <c r="I17" s="5" t="str">
        <f t="shared" si="17"/>
        <v/>
      </c>
      <c r="J17" s="5" t="str">
        <f>IF(G17="","",IF(COUNTIF($G$2:G17,G17)&gt;1,SUMIF($A$2:A17,G17,$C$2:C17),C17))</f>
        <v/>
      </c>
      <c r="K17" s="6" t="str">
        <f>IF(G17="","",IF(COUNTIF($G$2:G17,G17)&gt;1,SUMIF($A$2:A17,G17,$D$2:D17),D17) +SUMIF($G$2:G17,G17,$M$2:M17))</f>
        <v/>
      </c>
      <c r="L17" s="6" t="str">
        <f t="shared" si="4"/>
        <v/>
      </c>
      <c r="M17" s="31" t="str">
        <f>IF(G17="","",IF(B17 = "BUY", 0,(E17-VLOOKUP(CONCATENATE(G17,(H17-1)),$I$2:L16,4,FALSE))*-C17))</f>
        <v/>
      </c>
      <c r="O17" s="40"/>
      <c r="P17" s="17" t="str">
        <f t="shared" si="5"/>
        <v/>
      </c>
      <c r="Q17" s="17" t="str">
        <f t="shared" si="6"/>
        <v/>
      </c>
      <c r="R17" s="17" t="str">
        <f t="shared" si="7"/>
        <v/>
      </c>
      <c r="S17" s="44" t="str">
        <f t="shared" si="8"/>
        <v/>
      </c>
      <c r="U17" s="40" t="str">
        <f t="shared" si="10"/>
        <v/>
      </c>
      <c r="V17" s="17" t="str">
        <f t="shared" si="11"/>
        <v/>
      </c>
      <c r="W17" s="17" t="str">
        <f t="shared" si="12"/>
        <v/>
      </c>
      <c r="X17" s="17" t="str">
        <f t="shared" si="13"/>
        <v/>
      </c>
      <c r="Y17" s="80" t="str">
        <f t="shared" si="14"/>
        <v/>
      </c>
    </row>
    <row r="18" spans="1:25" x14ac:dyDescent="0.3">
      <c r="A18" s="4" t="str">
        <f>IF('Australian Transactions'!A18 = "","",'Australian Transactions'!A18)</f>
        <v/>
      </c>
      <c r="B18" s="5" t="str">
        <f>IF('Australian Transactions'!B18 = "","",'Australian Transactions'!B18)</f>
        <v/>
      </c>
      <c r="C18" s="5" t="str">
        <f>IF('Australian Transactions'!C18 = "","", IF($B18 = "BUY", 'Australian Transactions'!C18,-'Australian Transactions'!C18))</f>
        <v/>
      </c>
      <c r="D18" s="5" t="str">
        <f>IF('Australian Transactions'!D18 = "","",IF($B18 = "BUY", 'Australian Transactions'!D18,-'Australian Transactions'!D18))</f>
        <v/>
      </c>
      <c r="E18" s="5" t="str">
        <f t="shared" si="1"/>
        <v/>
      </c>
      <c r="F18" s="26"/>
      <c r="G18" s="5" t="str">
        <f t="shared" si="16"/>
        <v/>
      </c>
      <c r="H18" s="5" t="str">
        <f>IF(A18="","",COUNTIF($G$2:G18,G18))</f>
        <v/>
      </c>
      <c r="I18" s="5" t="str">
        <f t="shared" si="17"/>
        <v/>
      </c>
      <c r="J18" s="5" t="str">
        <f>IF(G18="","",IF(COUNTIF($G$2:G18,G18)&gt;1,SUMIF($A$2:A18,G18,$C$2:C18),C18))</f>
        <v/>
      </c>
      <c r="K18" s="6" t="str">
        <f>IF(G18="","",IF(COUNTIF($G$2:G18,G18)&gt;1,SUMIF($A$2:A18,G18,$D$2:D18),D18) +SUMIF($G$2:G18,G18,$M$2:M18))</f>
        <v/>
      </c>
      <c r="L18" s="6" t="str">
        <f t="shared" si="4"/>
        <v/>
      </c>
      <c r="M18" s="31" t="str">
        <f>IF(G18="","",IF(B18 = "BUY", 0,(E18-VLOOKUP(CONCATENATE(G18,(H18-1)),$I$2:L17,4,FALSE))*-C18))</f>
        <v/>
      </c>
      <c r="O18" s="40"/>
      <c r="P18" s="17" t="str">
        <f t="shared" si="5"/>
        <v/>
      </c>
      <c r="Q18" s="17" t="str">
        <f t="shared" si="6"/>
        <v/>
      </c>
      <c r="R18" s="17" t="str">
        <f t="shared" si="7"/>
        <v/>
      </c>
      <c r="S18" s="44" t="str">
        <f t="shared" si="8"/>
        <v/>
      </c>
      <c r="U18" s="40" t="str">
        <f t="shared" si="10"/>
        <v/>
      </c>
      <c r="V18" s="17" t="str">
        <f t="shared" si="11"/>
        <v/>
      </c>
      <c r="W18" s="17" t="str">
        <f t="shared" si="12"/>
        <v/>
      </c>
      <c r="X18" s="17" t="str">
        <f t="shared" si="13"/>
        <v/>
      </c>
      <c r="Y18" s="80" t="str">
        <f t="shared" si="14"/>
        <v/>
      </c>
    </row>
    <row r="19" spans="1:25" x14ac:dyDescent="0.3">
      <c r="A19" s="4" t="str">
        <f>IF('Australian Transactions'!A19 = "","",'Australian Transactions'!A19)</f>
        <v/>
      </c>
      <c r="B19" s="5" t="str">
        <f>IF('Australian Transactions'!B19 = "","",'Australian Transactions'!B19)</f>
        <v/>
      </c>
      <c r="C19" s="5" t="str">
        <f>IF('Australian Transactions'!C19 = "","", IF($B19 = "BUY", 'Australian Transactions'!C19,-'Australian Transactions'!C19))</f>
        <v/>
      </c>
      <c r="D19" s="5" t="str">
        <f>IF('Australian Transactions'!D19 = "","",IF($B19 = "BUY", 'Australian Transactions'!D19,-'Australian Transactions'!D19))</f>
        <v/>
      </c>
      <c r="E19" s="5" t="str">
        <f t="shared" si="1"/>
        <v/>
      </c>
      <c r="F19" s="26"/>
      <c r="G19" s="5" t="str">
        <f t="shared" si="16"/>
        <v/>
      </c>
      <c r="H19" s="5" t="str">
        <f>IF(A19="","",COUNTIF($G$2:G19,G19))</f>
        <v/>
      </c>
      <c r="I19" s="5" t="str">
        <f t="shared" si="17"/>
        <v/>
      </c>
      <c r="J19" s="5" t="str">
        <f>IF(G19="","",IF(COUNTIF($G$2:G19,G19)&gt;1,SUMIF($A$2:A19,G19,$C$2:C19),C19))</f>
        <v/>
      </c>
      <c r="K19" s="6" t="str">
        <f>IF(G19="","",IF(COUNTIF($G$2:G19,G19)&gt;1,SUMIF($A$2:A19,G19,$D$2:D19),D19) +SUMIF($G$2:G19,G19,$M$2:M19))</f>
        <v/>
      </c>
      <c r="L19" s="6" t="str">
        <f t="shared" si="4"/>
        <v/>
      </c>
      <c r="M19" s="31" t="str">
        <f>IF(G19="","",IF(B19 = "BUY", 0,(E19-VLOOKUP(CONCATENATE(G19,(H19-1)),$I$2:L18,4,FALSE))*-C19))</f>
        <v/>
      </c>
      <c r="O19" s="40"/>
      <c r="P19" s="17" t="str">
        <f t="shared" si="5"/>
        <v/>
      </c>
      <c r="Q19" s="17" t="str">
        <f t="shared" si="6"/>
        <v/>
      </c>
      <c r="R19" s="17" t="str">
        <f t="shared" si="7"/>
        <v/>
      </c>
      <c r="S19" s="44" t="str">
        <f t="shared" si="8"/>
        <v/>
      </c>
      <c r="U19" s="40" t="str">
        <f t="shared" si="10"/>
        <v/>
      </c>
      <c r="V19" s="17" t="str">
        <f t="shared" si="11"/>
        <v/>
      </c>
      <c r="W19" s="17" t="str">
        <f t="shared" si="12"/>
        <v/>
      </c>
      <c r="X19" s="17" t="str">
        <f t="shared" si="13"/>
        <v/>
      </c>
      <c r="Y19" s="80" t="str">
        <f t="shared" si="14"/>
        <v/>
      </c>
    </row>
    <row r="20" spans="1:25" x14ac:dyDescent="0.3">
      <c r="A20" s="4" t="str">
        <f>IF('Australian Transactions'!A20 = "","",'Australian Transactions'!A20)</f>
        <v/>
      </c>
      <c r="B20" s="5" t="str">
        <f>IF('Australian Transactions'!B20 = "","",'Australian Transactions'!B20)</f>
        <v/>
      </c>
      <c r="C20" s="5" t="str">
        <f>IF('Australian Transactions'!C20 = "","", IF($B20 = "BUY", 'Australian Transactions'!C20,-'Australian Transactions'!C20))</f>
        <v/>
      </c>
      <c r="D20" s="5" t="str">
        <f>IF('Australian Transactions'!D20 = "","",IF($B20 = "BUY", 'Australian Transactions'!D20,-'Australian Transactions'!D20))</f>
        <v/>
      </c>
      <c r="E20" s="5" t="str">
        <f t="shared" si="1"/>
        <v/>
      </c>
      <c r="F20" s="26"/>
      <c r="G20" s="5" t="str">
        <f t="shared" si="16"/>
        <v/>
      </c>
      <c r="H20" s="5" t="str">
        <f>IF(A20="","",COUNTIF($G$2:G20,G20))</f>
        <v/>
      </c>
      <c r="I20" s="5" t="str">
        <f t="shared" si="17"/>
        <v/>
      </c>
      <c r="J20" s="5" t="str">
        <f>IF(G20="","",IF(COUNTIF($G$2:G20,G20)&gt;1,SUMIF($A$2:A20,G20,$C$2:C20),C20))</f>
        <v/>
      </c>
      <c r="K20" s="6" t="str">
        <f>IF(G20="","",IF(COUNTIF($G$2:G20,G20)&gt;1,SUMIF($A$2:A20,G20,$D$2:D20),D20) +SUMIF($G$2:G20,G20,$M$2:M20))</f>
        <v/>
      </c>
      <c r="L20" s="6" t="str">
        <f t="shared" si="4"/>
        <v/>
      </c>
      <c r="M20" s="31" t="str">
        <f>IF(G20="","",IF(B20 = "BUY", 0,(E20-VLOOKUP(CONCATENATE(G20,(H20-1)),$I$2:L19,4,FALSE))*-C20))</f>
        <v/>
      </c>
      <c r="O20" s="40"/>
      <c r="P20" s="17" t="str">
        <f t="shared" si="5"/>
        <v/>
      </c>
      <c r="Q20" s="17" t="str">
        <f t="shared" si="6"/>
        <v/>
      </c>
      <c r="R20" s="17" t="str">
        <f t="shared" si="7"/>
        <v/>
      </c>
      <c r="S20" s="44" t="str">
        <f t="shared" si="8"/>
        <v/>
      </c>
      <c r="U20" s="40" t="str">
        <f t="shared" si="10"/>
        <v/>
      </c>
      <c r="V20" s="17" t="str">
        <f t="shared" si="11"/>
        <v/>
      </c>
      <c r="W20" s="17" t="str">
        <f t="shared" si="12"/>
        <v/>
      </c>
      <c r="X20" s="17" t="str">
        <f t="shared" si="13"/>
        <v/>
      </c>
      <c r="Y20" s="80" t="str">
        <f t="shared" si="14"/>
        <v/>
      </c>
    </row>
    <row r="21" spans="1:25" ht="15" thickBot="1" x14ac:dyDescent="0.35">
      <c r="A21" s="4" t="str">
        <f>IF('Australian Transactions'!A21 = "","",'Australian Transactions'!A21)</f>
        <v/>
      </c>
      <c r="B21" s="5" t="str">
        <f>IF('Australian Transactions'!B21 = "","",'Australian Transactions'!B21)</f>
        <v/>
      </c>
      <c r="C21" s="5" t="str">
        <f>IF('Australian Transactions'!C21 = "","", IF($B21 = "BUY", 'Australian Transactions'!C21,-'Australian Transactions'!C21))</f>
        <v/>
      </c>
      <c r="D21" s="5" t="str">
        <f>IF('Australian Transactions'!D21 = "","",IF($B21 = "BUY", 'Australian Transactions'!D21,-'Australian Transactions'!D21))</f>
        <v/>
      </c>
      <c r="E21" s="5" t="str">
        <f t="shared" si="1"/>
        <v/>
      </c>
      <c r="F21" s="26"/>
      <c r="G21" s="5" t="str">
        <f t="shared" si="16"/>
        <v/>
      </c>
      <c r="H21" s="5" t="str">
        <f>IF(A21="","",COUNTIF($G$2:G21,G21))</f>
        <v/>
      </c>
      <c r="I21" s="5" t="str">
        <f t="shared" si="17"/>
        <v/>
      </c>
      <c r="J21" s="5" t="str">
        <f>IF(G21="","",IF(COUNTIF($G$2:G21,G21)&gt;1,SUMIF($A$2:A21,G21,$C$2:C21),C21))</f>
        <v/>
      </c>
      <c r="K21" s="6" t="str">
        <f>IF(G21="","",IF(COUNTIF($G$2:G21,G21)&gt;1,SUMIF($A$2:A21,G21,$D$2:D21),D21) +SUMIF($G$2:G21,G21,$M$2:M21))</f>
        <v/>
      </c>
      <c r="L21" s="6" t="str">
        <f t="shared" si="4"/>
        <v/>
      </c>
      <c r="M21" s="31" t="str">
        <f>IF(G21="","",IF(B21 = "BUY", 0,(E21-VLOOKUP(CONCATENATE(G21,(H21-1)),$I$2:L20,4,FALSE))*-C21))</f>
        <v/>
      </c>
      <c r="O21" s="41"/>
      <c r="P21" s="42" t="str">
        <f t="shared" si="5"/>
        <v/>
      </c>
      <c r="Q21" s="42" t="str">
        <f t="shared" si="6"/>
        <v/>
      </c>
      <c r="R21" s="42" t="str">
        <f t="shared" si="7"/>
        <v/>
      </c>
      <c r="S21" s="45" t="str">
        <f t="shared" si="8"/>
        <v/>
      </c>
      <c r="U21" s="41" t="str">
        <f t="shared" si="10"/>
        <v/>
      </c>
      <c r="V21" s="42" t="str">
        <f t="shared" si="11"/>
        <v/>
      </c>
      <c r="W21" s="42" t="str">
        <f t="shared" si="12"/>
        <v/>
      </c>
      <c r="X21" s="42" t="str">
        <f t="shared" si="13"/>
        <v/>
      </c>
      <c r="Y21" s="81" t="str">
        <f t="shared" si="14"/>
        <v/>
      </c>
    </row>
    <row r="22" spans="1:25" x14ac:dyDescent="0.3">
      <c r="A22" s="4" t="str">
        <f>IF('Australian Transactions'!A22 = "","",'Australian Transactions'!A22)</f>
        <v/>
      </c>
      <c r="B22" s="5" t="str">
        <f>IF('Australian Transactions'!B22 = "","",'Australian Transactions'!B22)</f>
        <v/>
      </c>
      <c r="C22" s="5" t="str">
        <f>IF('Australian Transactions'!C22 = "","", IF($B22 = "BUY", 'Australian Transactions'!C22,-'Australian Transactions'!C22))</f>
        <v/>
      </c>
      <c r="D22" s="5" t="str">
        <f>IF('Australian Transactions'!D22 = "","",IF($B22 = "BUY", 'Australian Transactions'!D22,-'Australian Transactions'!D22))</f>
        <v/>
      </c>
      <c r="E22" s="5" t="str">
        <f t="shared" si="1"/>
        <v/>
      </c>
      <c r="F22" s="26"/>
      <c r="G22" s="5" t="str">
        <f t="shared" si="16"/>
        <v/>
      </c>
      <c r="H22" s="5" t="str">
        <f>IF(A22="","",COUNTIF($G$2:G22,G22))</f>
        <v/>
      </c>
      <c r="I22" s="5" t="str">
        <f t="shared" si="17"/>
        <v/>
      </c>
      <c r="J22" s="5" t="str">
        <f>IF(G22="","",IF(COUNTIF($G$2:G22,G22)&gt;1,SUMIF($A$2:A22,G22,$C$2:C22),C22))</f>
        <v/>
      </c>
      <c r="K22" s="6" t="str">
        <f>IF(G22="","",IF(COUNTIF($G$2:G22,G22)&gt;1,SUMIF($A$2:A22,G22,$D$2:D22),D22) +SUMIF($G$2:G22,G22,$M$2:M22))</f>
        <v/>
      </c>
      <c r="L22" s="6" t="str">
        <f t="shared" si="4"/>
        <v/>
      </c>
      <c r="M22" s="31" t="str">
        <f>IF(G22="","",IF(B22 = "BUY", 0,(E22-VLOOKUP(CONCATENATE(G22,(H22-1)),$I$2:L21,4,FALSE))*-C22))</f>
        <v/>
      </c>
      <c r="P22" t="str">
        <f t="shared" si="5"/>
        <v/>
      </c>
      <c r="Q22" t="str">
        <f t="shared" si="6"/>
        <v/>
      </c>
      <c r="R22" t="str">
        <f t="shared" si="7"/>
        <v/>
      </c>
      <c r="S22" t="str">
        <f t="shared" si="8"/>
        <v/>
      </c>
    </row>
    <row r="23" spans="1:25" x14ac:dyDescent="0.3">
      <c r="A23" s="4" t="str">
        <f>IF('Australian Transactions'!A23 = "","",'Australian Transactions'!A23)</f>
        <v/>
      </c>
      <c r="B23" s="5" t="str">
        <f>IF('Australian Transactions'!B23 = "","",'Australian Transactions'!B23)</f>
        <v/>
      </c>
      <c r="C23" s="5" t="str">
        <f>IF('Australian Transactions'!C23 = "","", IF($B23 = "BUY", 'Australian Transactions'!C23,-'Australian Transactions'!C23))</f>
        <v/>
      </c>
      <c r="D23" s="5" t="str">
        <f>IF('Australian Transactions'!D23 = "","",IF($B23 = "BUY", 'Australian Transactions'!D23,-'Australian Transactions'!D23))</f>
        <v/>
      </c>
      <c r="E23" s="5" t="str">
        <f t="shared" si="1"/>
        <v/>
      </c>
      <c r="F23" s="26"/>
      <c r="G23" s="5" t="str">
        <f t="shared" si="16"/>
        <v/>
      </c>
      <c r="H23" s="5" t="str">
        <f>IF(A23="","",COUNTIF($G$2:G23,G23))</f>
        <v/>
      </c>
      <c r="I23" s="5" t="str">
        <f t="shared" si="17"/>
        <v/>
      </c>
      <c r="J23" s="5" t="str">
        <f>IF(G23="","",IF(COUNTIF($G$2:G23,G23)&gt;1,SUMIF($A$2:A23,G23,$C$2:C23),C23))</f>
        <v/>
      </c>
      <c r="K23" s="6" t="str">
        <f>IF(G23="","",IF(COUNTIF($G$2:G23,G23)&gt;1,SUMIF($A$2:A23,G23,$D$2:D23),D23) +SUMIF($G$2:G23,G23,$M$2:M23))</f>
        <v/>
      </c>
      <c r="L23" s="6" t="str">
        <f t="shared" si="4"/>
        <v/>
      </c>
      <c r="M23" s="31" t="str">
        <f>IF(G23="","",IF(B23 = "BUY", 0,(E23-VLOOKUP(CONCATENATE(G23,(H23-1)),$I$2:L22,4,FALSE))*-C23))</f>
        <v/>
      </c>
      <c r="P23" t="str">
        <f t="shared" si="5"/>
        <v/>
      </c>
      <c r="Q23" t="str">
        <f t="shared" si="6"/>
        <v/>
      </c>
      <c r="R23" t="str">
        <f t="shared" si="7"/>
        <v/>
      </c>
      <c r="S23" t="str">
        <f t="shared" si="8"/>
        <v/>
      </c>
    </row>
    <row r="24" spans="1:25" x14ac:dyDescent="0.3">
      <c r="A24" s="4" t="str">
        <f>IF('Australian Transactions'!A24 = "","",'Australian Transactions'!A24)</f>
        <v/>
      </c>
      <c r="B24" s="5" t="str">
        <f>IF('Australian Transactions'!B24 = "","",'Australian Transactions'!B24)</f>
        <v/>
      </c>
      <c r="C24" s="5" t="str">
        <f>IF('Australian Transactions'!C24 = "","", IF($B24 = "BUY", 'Australian Transactions'!C24,-'Australian Transactions'!C24))</f>
        <v/>
      </c>
      <c r="D24" s="5" t="str">
        <f>IF('Australian Transactions'!D24 = "","",IF($B24 = "BUY", 'Australian Transactions'!D24,-'Australian Transactions'!D24))</f>
        <v/>
      </c>
      <c r="E24" s="5" t="str">
        <f t="shared" si="1"/>
        <v/>
      </c>
      <c r="F24" s="26"/>
      <c r="G24" s="5" t="str">
        <f t="shared" si="16"/>
        <v/>
      </c>
      <c r="H24" s="5" t="str">
        <f>IF(A24="","",COUNTIF($G$2:G24,G24))</f>
        <v/>
      </c>
      <c r="I24" s="5" t="str">
        <f t="shared" si="17"/>
        <v/>
      </c>
      <c r="J24" s="5" t="str">
        <f>IF(G24="","",IF(COUNTIF($G$2:G24,G24)&gt;1,SUMIF($A$2:A24,G24,$C$2:C24),C24))</f>
        <v/>
      </c>
      <c r="K24" s="6" t="str">
        <f>IF(G24="","",IF(COUNTIF($G$2:G24,G24)&gt;1,SUMIF($A$2:A24,G24,$D$2:D24),D24) +SUMIF($G$2:G24,G24,$M$2:M24))</f>
        <v/>
      </c>
      <c r="L24" s="6" t="str">
        <f t="shared" si="4"/>
        <v/>
      </c>
      <c r="M24" s="31" t="str">
        <f>IF(G24="","",IF(B24 = "BUY", 0,(E24-VLOOKUP(CONCATENATE(G24,(H24-1)),$I$2:L23,4,FALSE))*-C24))</f>
        <v/>
      </c>
      <c r="P24" t="str">
        <f t="shared" si="5"/>
        <v/>
      </c>
      <c r="Q24" t="str">
        <f t="shared" si="6"/>
        <v/>
      </c>
      <c r="R24" t="str">
        <f t="shared" si="7"/>
        <v/>
      </c>
      <c r="S24" t="str">
        <f t="shared" si="8"/>
        <v/>
      </c>
    </row>
    <row r="25" spans="1:25" x14ac:dyDescent="0.3">
      <c r="A25" s="4" t="str">
        <f>IF('Australian Transactions'!A25 = "","",'Australian Transactions'!A25)</f>
        <v/>
      </c>
      <c r="B25" s="5" t="str">
        <f>IF('Australian Transactions'!B25 = "","",'Australian Transactions'!B25)</f>
        <v/>
      </c>
      <c r="C25" s="5" t="str">
        <f>IF('Australian Transactions'!C25 = "","", IF($B25 = "BUY", 'Australian Transactions'!C25,-'Australian Transactions'!C25))</f>
        <v/>
      </c>
      <c r="D25" s="5" t="str">
        <f>IF('Australian Transactions'!D25 = "","",IF($B25 = "BUY", 'Australian Transactions'!D25,-'Australian Transactions'!D25))</f>
        <v/>
      </c>
      <c r="E25" s="5" t="str">
        <f t="shared" si="1"/>
        <v/>
      </c>
      <c r="F25" s="26"/>
      <c r="G25" s="5" t="str">
        <f t="shared" si="16"/>
        <v/>
      </c>
      <c r="H25" s="5" t="str">
        <f>IF(A25="","",COUNTIF($G$2:G25,G25))</f>
        <v/>
      </c>
      <c r="I25" s="5" t="str">
        <f t="shared" si="17"/>
        <v/>
      </c>
      <c r="J25" s="5" t="str">
        <f>IF(G25="","",IF(COUNTIF($G$2:G25,G25)&gt;1,SUMIF($A$2:A25,G25,$C$2:C25),C25))</f>
        <v/>
      </c>
      <c r="K25" s="6" t="str">
        <f>IF(G25="","",IF(COUNTIF($G$2:G25,G25)&gt;1,SUMIF($A$2:A25,G25,$D$2:D25),D25) +SUMIF($G$2:G25,G25,$M$2:M25))</f>
        <v/>
      </c>
      <c r="L25" s="6" t="str">
        <f t="shared" si="4"/>
        <v/>
      </c>
      <c r="M25" s="31" t="str">
        <f>IF(G25="","",IF(B25 = "BUY", 0,(E25-VLOOKUP(CONCATENATE(G25,(H25-1)),$I$2:L24,4,FALSE))*-C25))</f>
        <v/>
      </c>
      <c r="P25" t="str">
        <f t="shared" si="5"/>
        <v/>
      </c>
      <c r="Q25" t="str">
        <f t="shared" si="6"/>
        <v/>
      </c>
      <c r="R25" t="str">
        <f t="shared" si="7"/>
        <v/>
      </c>
      <c r="S25" t="str">
        <f t="shared" si="8"/>
        <v/>
      </c>
    </row>
    <row r="26" spans="1:25" x14ac:dyDescent="0.3">
      <c r="A26" s="4" t="str">
        <f>IF('Australian Transactions'!A26 = "","",'Australian Transactions'!A26)</f>
        <v/>
      </c>
      <c r="B26" s="5" t="str">
        <f>IF('Australian Transactions'!B26 = "","",'Australian Transactions'!B26)</f>
        <v/>
      </c>
      <c r="C26" s="5" t="str">
        <f>IF('Australian Transactions'!C26 = "","", IF($B26 = "BUY", 'Australian Transactions'!C26,-'Australian Transactions'!C26))</f>
        <v/>
      </c>
      <c r="D26" s="5" t="str">
        <f>IF('Australian Transactions'!D26 = "","",IF($B26 = "BUY", 'Australian Transactions'!D26,-'Australian Transactions'!D26))</f>
        <v/>
      </c>
      <c r="E26" s="5" t="str">
        <f t="shared" si="1"/>
        <v/>
      </c>
      <c r="F26" s="26"/>
      <c r="G26" s="5" t="str">
        <f t="shared" si="16"/>
        <v/>
      </c>
      <c r="H26" s="5" t="str">
        <f>IF(A26="","",COUNTIF($G$2:G26,G26))</f>
        <v/>
      </c>
      <c r="I26" s="5" t="str">
        <f t="shared" si="17"/>
        <v/>
      </c>
      <c r="J26" s="5" t="str">
        <f>IF(G26="","",IF(COUNTIF($G$2:G26,G26)&gt;1,SUMIF($A$2:A26,G26,$C$2:C26),C26))</f>
        <v/>
      </c>
      <c r="K26" s="6" t="str">
        <f>IF(G26="","",IF(COUNTIF($G$2:G26,G26)&gt;1,SUMIF($A$2:A26,G26,$D$2:D26),D26) +SUMIF($G$2:G26,G26,$M$2:M26))</f>
        <v/>
      </c>
      <c r="L26" s="6" t="str">
        <f t="shared" si="4"/>
        <v/>
      </c>
      <c r="M26" s="31" t="str">
        <f>IF(G26="","",IF(B26 = "BUY", 0,(E26-VLOOKUP(CONCATENATE(G26,(H26-1)),$I$2:L25,4,FALSE))*-C26))</f>
        <v/>
      </c>
      <c r="P26" t="str">
        <f t="shared" si="5"/>
        <v/>
      </c>
      <c r="Q26" t="str">
        <f t="shared" si="6"/>
        <v/>
      </c>
      <c r="R26" t="str">
        <f t="shared" si="7"/>
        <v/>
      </c>
      <c r="S26" t="str">
        <f t="shared" si="8"/>
        <v/>
      </c>
    </row>
    <row r="27" spans="1:25" x14ac:dyDescent="0.3">
      <c r="A27" s="4" t="str">
        <f>IF('Australian Transactions'!A27 = "","",'Australian Transactions'!A27)</f>
        <v/>
      </c>
      <c r="B27" s="5" t="str">
        <f>IF('Australian Transactions'!B27 = "","",'Australian Transactions'!B27)</f>
        <v/>
      </c>
      <c r="C27" s="5" t="str">
        <f>IF('Australian Transactions'!C27 = "","", IF($B27 = "BUY", 'Australian Transactions'!C27,-'Australian Transactions'!C27))</f>
        <v/>
      </c>
      <c r="D27" s="5" t="str">
        <f>IF('Australian Transactions'!D27 = "","",IF($B27 = "BUY", 'Australian Transactions'!D27,-'Australian Transactions'!D27))</f>
        <v/>
      </c>
      <c r="E27" s="5" t="str">
        <f t="shared" si="1"/>
        <v/>
      </c>
      <c r="F27" s="26"/>
      <c r="G27" s="5" t="str">
        <f t="shared" si="16"/>
        <v/>
      </c>
      <c r="H27" s="5" t="str">
        <f>IF(A27="","",COUNTIF($G$2:G27,G27))</f>
        <v/>
      </c>
      <c r="I27" s="5" t="str">
        <f t="shared" si="17"/>
        <v/>
      </c>
      <c r="J27" s="5" t="str">
        <f>IF(G27="","",IF(COUNTIF($G$2:G27,G27)&gt;1,SUMIF($A$2:A27,G27,$C$2:C27),C27))</f>
        <v/>
      </c>
      <c r="K27" s="6" t="str">
        <f>IF(G27="","",IF(COUNTIF($G$2:G27,G27)&gt;1,SUMIF($A$2:A27,G27,$D$2:D27),D27) +SUMIF($G$2:G27,G27,$M$2:M27))</f>
        <v/>
      </c>
      <c r="L27" s="6" t="str">
        <f t="shared" si="4"/>
        <v/>
      </c>
      <c r="M27" s="31" t="str">
        <f>IF(G27="","",IF(B27 = "BUY", 0,(E27-VLOOKUP(CONCATENATE(G27,(H27-1)),$I$2:L26,4,FALSE))*-C27))</f>
        <v/>
      </c>
      <c r="P27" t="str">
        <f t="shared" si="5"/>
        <v/>
      </c>
      <c r="Q27" t="str">
        <f t="shared" si="6"/>
        <v/>
      </c>
      <c r="R27" t="str">
        <f t="shared" si="7"/>
        <v/>
      </c>
      <c r="S27" t="str">
        <f t="shared" si="8"/>
        <v/>
      </c>
    </row>
    <row r="28" spans="1:25" x14ac:dyDescent="0.3">
      <c r="A28" s="4" t="str">
        <f>IF('Australian Transactions'!A28 = "","",'Australian Transactions'!A28)</f>
        <v/>
      </c>
      <c r="B28" s="5" t="str">
        <f>IF('Australian Transactions'!B28 = "","",'Australian Transactions'!B28)</f>
        <v/>
      </c>
      <c r="C28" s="5" t="str">
        <f>IF('Australian Transactions'!C28 = "","", IF($B28 = "BUY", 'Australian Transactions'!C28,-'Australian Transactions'!C28))</f>
        <v/>
      </c>
      <c r="D28" s="5" t="str">
        <f>IF('Australian Transactions'!D28 = "","",IF($B28 = "BUY", 'Australian Transactions'!D28,-'Australian Transactions'!D28))</f>
        <v/>
      </c>
      <c r="E28" s="5" t="str">
        <f t="shared" si="1"/>
        <v/>
      </c>
      <c r="F28" s="26"/>
      <c r="G28" s="5" t="str">
        <f t="shared" si="16"/>
        <v/>
      </c>
      <c r="H28" s="5" t="str">
        <f>IF(A28="","",COUNTIF($G$2:G28,G28))</f>
        <v/>
      </c>
      <c r="I28" s="5" t="str">
        <f t="shared" si="17"/>
        <v/>
      </c>
      <c r="J28" s="5" t="str">
        <f>IF(G28="","",IF(COUNTIF($G$2:G28,G28)&gt;1,SUMIF($A$2:A28,G28,$C$2:C28),C28))</f>
        <v/>
      </c>
      <c r="K28" s="6" t="str">
        <f>IF(G28="","",IF(COUNTIF($G$2:G28,G28)&gt;1,SUMIF($A$2:A28,G28,$D$2:D28),D28) +SUMIF($G$2:G28,G28,$M$2:M28))</f>
        <v/>
      </c>
      <c r="L28" s="6" t="str">
        <f t="shared" si="4"/>
        <v/>
      </c>
      <c r="M28" s="31" t="str">
        <f>IF(G28="","",IF(B28 = "BUY", 0,(E28-VLOOKUP(CONCATENATE(G28,(H28-1)),$I$2:L27,4,FALSE))*-C28))</f>
        <v/>
      </c>
      <c r="P28" t="str">
        <f t="shared" si="5"/>
        <v/>
      </c>
      <c r="Q28" t="str">
        <f t="shared" si="6"/>
        <v/>
      </c>
      <c r="R28" t="str">
        <f t="shared" si="7"/>
        <v/>
      </c>
      <c r="S28" t="str">
        <f t="shared" si="8"/>
        <v/>
      </c>
    </row>
    <row r="29" spans="1:25" x14ac:dyDescent="0.3">
      <c r="A29" s="4" t="str">
        <f>IF('Australian Transactions'!A29 = "","",'Australian Transactions'!A29)</f>
        <v/>
      </c>
      <c r="B29" s="5" t="str">
        <f>IF('Australian Transactions'!B29 = "","",'Australian Transactions'!B29)</f>
        <v/>
      </c>
      <c r="C29" s="5" t="str">
        <f>IF('Australian Transactions'!C29 = "","", IF($B29 = "BUY", 'Australian Transactions'!C29,-'Australian Transactions'!C29))</f>
        <v/>
      </c>
      <c r="D29" s="5" t="str">
        <f>IF('Australian Transactions'!D29 = "","",IF($B29 = "BUY", 'Australian Transactions'!D29,-'Australian Transactions'!D29))</f>
        <v/>
      </c>
      <c r="E29" s="5" t="str">
        <f t="shared" si="1"/>
        <v/>
      </c>
      <c r="F29" s="26"/>
      <c r="G29" s="5" t="str">
        <f t="shared" si="16"/>
        <v/>
      </c>
      <c r="H29" s="5" t="str">
        <f>IF(A29="","",COUNTIF($G$2:G29,G29))</f>
        <v/>
      </c>
      <c r="I29" s="5" t="str">
        <f t="shared" si="17"/>
        <v/>
      </c>
      <c r="J29" s="5" t="str">
        <f>IF(G29="","",IF(COUNTIF($G$2:G29,G29)&gt;1,SUMIF($A$2:A29,G29,$C$2:C29),C29))</f>
        <v/>
      </c>
      <c r="K29" s="6" t="str">
        <f>IF(G29="","",IF(COUNTIF($G$2:G29,G29)&gt;1,SUMIF($A$2:A29,G29,$D$2:D29),D29) +SUMIF($G$2:G29,G29,$M$2:M29))</f>
        <v/>
      </c>
      <c r="L29" s="6" t="str">
        <f t="shared" si="4"/>
        <v/>
      </c>
      <c r="M29" s="31" t="str">
        <f>IF(G29="","",IF(B29 = "BUY", 0,(E29-VLOOKUP(CONCATENATE(G29,(H29-1)),$I$2:L28,4,FALSE))*-C29))</f>
        <v/>
      </c>
      <c r="P29" t="str">
        <f t="shared" si="5"/>
        <v/>
      </c>
      <c r="Q29" t="str">
        <f t="shared" si="6"/>
        <v/>
      </c>
      <c r="R29" t="str">
        <f t="shared" si="7"/>
        <v/>
      </c>
      <c r="S29" t="str">
        <f t="shared" si="8"/>
        <v/>
      </c>
    </row>
    <row r="30" spans="1:25" x14ac:dyDescent="0.3">
      <c r="A30" s="4" t="str">
        <f>IF('Australian Transactions'!A30 = "","",'Australian Transactions'!A30)</f>
        <v/>
      </c>
      <c r="B30" s="5" t="str">
        <f>IF('Australian Transactions'!B30 = "","",'Australian Transactions'!B30)</f>
        <v/>
      </c>
      <c r="C30" s="5" t="str">
        <f>IF('Australian Transactions'!C30 = "","", IF($B30 = "BUY", 'Australian Transactions'!C30,-'Australian Transactions'!C30))</f>
        <v/>
      </c>
      <c r="D30" s="5" t="str">
        <f>IF('Australian Transactions'!D30 = "","",IF($B30 = "BUY", 'Australian Transactions'!D30,-'Australian Transactions'!D30))</f>
        <v/>
      </c>
      <c r="E30" s="5" t="str">
        <f t="shared" si="1"/>
        <v/>
      </c>
      <c r="F30" s="26"/>
      <c r="G30" s="5" t="str">
        <f t="shared" si="16"/>
        <v/>
      </c>
      <c r="H30" s="5" t="str">
        <f>IF(A30="","",COUNTIF($G$2:G30,G30))</f>
        <v/>
      </c>
      <c r="I30" s="5" t="str">
        <f t="shared" si="17"/>
        <v/>
      </c>
      <c r="J30" s="5" t="str">
        <f>IF(G30="","",IF(COUNTIF($G$2:G30,G30)&gt;1,SUMIF($A$2:A30,G30,$C$2:C30),C30))</f>
        <v/>
      </c>
      <c r="K30" s="6" t="str">
        <f>IF(G30="","",IF(COUNTIF($G$2:G30,G30)&gt;1,SUMIF($A$2:A30,G30,$D$2:D30),D30) +SUMIF($G$2:G30,G30,$M$2:M30))</f>
        <v/>
      </c>
      <c r="L30" s="6" t="str">
        <f t="shared" si="4"/>
        <v/>
      </c>
      <c r="M30" s="31" t="str">
        <f>IF(G30="","",IF(B30 = "BUY", 0,(E30-VLOOKUP(CONCATENATE(G30,(H30-1)),$I$2:L29,4,FALSE))*-C30))</f>
        <v/>
      </c>
      <c r="P30" t="str">
        <f t="shared" si="5"/>
        <v/>
      </c>
      <c r="Q30" t="str">
        <f t="shared" si="6"/>
        <v/>
      </c>
      <c r="R30" t="str">
        <f t="shared" si="7"/>
        <v/>
      </c>
      <c r="S30" t="str">
        <f t="shared" si="8"/>
        <v/>
      </c>
    </row>
    <row r="31" spans="1:25" x14ac:dyDescent="0.3">
      <c r="A31" s="4" t="str">
        <f>IF('Australian Transactions'!A31 = "","",'Australian Transactions'!A31)</f>
        <v/>
      </c>
      <c r="B31" s="5" t="str">
        <f>IF('Australian Transactions'!B31 = "","",'Australian Transactions'!B31)</f>
        <v/>
      </c>
      <c r="C31" s="5" t="str">
        <f>IF('Australian Transactions'!C31 = "","", IF($B31 = "BUY", 'Australian Transactions'!C31,-'Australian Transactions'!C31))</f>
        <v/>
      </c>
      <c r="D31" s="5" t="str">
        <f>IF('Australian Transactions'!D31 = "","",IF($B31 = "BUY", 'Australian Transactions'!D31,-'Australian Transactions'!D31))</f>
        <v/>
      </c>
      <c r="E31" s="5" t="str">
        <f t="shared" si="1"/>
        <v/>
      </c>
      <c r="F31" s="26"/>
      <c r="G31" s="5" t="str">
        <f t="shared" si="16"/>
        <v/>
      </c>
      <c r="H31" s="5" t="str">
        <f>IF(A31="","",COUNTIF($G$2:G31,G31))</f>
        <v/>
      </c>
      <c r="I31" s="5" t="str">
        <f t="shared" si="17"/>
        <v/>
      </c>
      <c r="J31" s="5" t="str">
        <f>IF(G31="","",IF(COUNTIF($G$2:G31,G31)&gt;1,SUMIF($A$2:A31,G31,$C$2:C31),C31))</f>
        <v/>
      </c>
      <c r="K31" s="6" t="str">
        <f>IF(G31="","",IF(COUNTIF($G$2:G31,G31)&gt;1,SUMIF($A$2:A31,G31,$D$2:D31),D31) +SUMIF($G$2:G31,G31,$M$2:M31))</f>
        <v/>
      </c>
      <c r="L31" s="6" t="str">
        <f t="shared" si="4"/>
        <v/>
      </c>
      <c r="M31" s="31" t="str">
        <f>IF(G31="","",IF(B31 = "BUY", 0,(E31-VLOOKUP(CONCATENATE(G31,(H31-1)),$I$2:L30,4,FALSE))*-C31))</f>
        <v/>
      </c>
      <c r="P31" t="str">
        <f t="shared" si="5"/>
        <v/>
      </c>
      <c r="Q31" t="str">
        <f t="shared" si="6"/>
        <v/>
      </c>
      <c r="R31" t="str">
        <f t="shared" si="7"/>
        <v/>
      </c>
      <c r="S31" t="str">
        <f t="shared" si="8"/>
        <v/>
      </c>
    </row>
    <row r="32" spans="1:25" x14ac:dyDescent="0.3">
      <c r="A32" s="4" t="str">
        <f>IF('Australian Transactions'!A32 = "","",'Australian Transactions'!A32)</f>
        <v/>
      </c>
      <c r="B32" s="5" t="str">
        <f>IF('Australian Transactions'!B32 = "","",'Australian Transactions'!B32)</f>
        <v/>
      </c>
      <c r="C32" s="5" t="str">
        <f>IF('Australian Transactions'!C32 = "","", IF($B32 = "BUY", 'Australian Transactions'!C32,-'Australian Transactions'!C32))</f>
        <v/>
      </c>
      <c r="D32" s="5" t="str">
        <f>IF('Australian Transactions'!D32 = "","",IF($B32 = "BUY", 'Australian Transactions'!D32,-'Australian Transactions'!D32))</f>
        <v/>
      </c>
      <c r="E32" s="5" t="str">
        <f t="shared" si="1"/>
        <v/>
      </c>
      <c r="F32" s="26"/>
      <c r="G32" s="5" t="str">
        <f t="shared" si="16"/>
        <v/>
      </c>
      <c r="H32" s="5" t="str">
        <f>IF(A32="","",COUNTIF($G$2:G32,G32))</f>
        <v/>
      </c>
      <c r="I32" s="5" t="str">
        <f t="shared" si="17"/>
        <v/>
      </c>
      <c r="J32" s="5" t="str">
        <f>IF(G32="","",IF(COUNTIF($G$2:G32,G32)&gt;1,SUMIF($A$2:A32,G32,$C$2:C32),C32))</f>
        <v/>
      </c>
      <c r="K32" s="6" t="str">
        <f>IF(G32="","",IF(COUNTIF($G$2:G32,G32)&gt;1,SUMIF($A$2:A32,G32,$D$2:D32),D32) +SUMIF($G$2:G32,G32,$M$2:M32))</f>
        <v/>
      </c>
      <c r="L32" s="6" t="str">
        <f t="shared" si="4"/>
        <v/>
      </c>
      <c r="M32" s="31" t="str">
        <f>IF(G32="","",IF(B32 = "BUY", 0,(E32-VLOOKUP(CONCATENATE(G32,(H32-1)),$I$2:L31,4,FALSE))*-C32))</f>
        <v/>
      </c>
      <c r="P32" t="str">
        <f t="shared" si="5"/>
        <v/>
      </c>
      <c r="Q32" t="str">
        <f t="shared" si="6"/>
        <v/>
      </c>
      <c r="R32" t="str">
        <f t="shared" si="7"/>
        <v/>
      </c>
      <c r="S32" t="str">
        <f t="shared" si="8"/>
        <v/>
      </c>
    </row>
    <row r="33" spans="1:19" x14ac:dyDescent="0.3">
      <c r="A33" s="4" t="str">
        <f>IF('Australian Transactions'!A33 = "","",'Australian Transactions'!A33)</f>
        <v/>
      </c>
      <c r="B33" s="5" t="str">
        <f>IF('Australian Transactions'!B33 = "","",'Australian Transactions'!B33)</f>
        <v/>
      </c>
      <c r="C33" s="5" t="str">
        <f>IF('Australian Transactions'!C33 = "","", IF($B33 = "BUY", 'Australian Transactions'!C33,-'Australian Transactions'!C33))</f>
        <v/>
      </c>
      <c r="D33" s="5" t="str">
        <f>IF('Australian Transactions'!D33 = "","",IF($B33 = "BUY", 'Australian Transactions'!D33,-'Australian Transactions'!D33))</f>
        <v/>
      </c>
      <c r="E33" s="5" t="str">
        <f t="shared" si="1"/>
        <v/>
      </c>
      <c r="F33" s="26"/>
      <c r="G33" s="5" t="str">
        <f t="shared" si="16"/>
        <v/>
      </c>
      <c r="H33" s="5" t="str">
        <f>IF(A33="","",COUNTIF($G$2:G33,G33))</f>
        <v/>
      </c>
      <c r="I33" s="5" t="str">
        <f t="shared" si="17"/>
        <v/>
      </c>
      <c r="J33" s="5" t="str">
        <f>IF(G33="","",IF(COUNTIF($G$2:G33,G33)&gt;1,SUMIF($A$2:A33,G33,$C$2:C33),C33))</f>
        <v/>
      </c>
      <c r="K33" s="6" t="str">
        <f>IF(G33="","",IF(COUNTIF($G$2:G33,G33)&gt;1,SUMIF($A$2:A33,G33,$D$2:D33),D33) +SUMIF($G$2:G33,G33,$M$2:M33))</f>
        <v/>
      </c>
      <c r="L33" s="6" t="str">
        <f t="shared" si="4"/>
        <v/>
      </c>
      <c r="M33" s="31" t="str">
        <f>IF(G33="","",IF(B33 = "BUY", 0,(E33-VLOOKUP(CONCATENATE(G33,(H33-1)),$I$2:L32,4,FALSE))*-C33))</f>
        <v/>
      </c>
      <c r="P33" t="str">
        <f t="shared" si="5"/>
        <v/>
      </c>
      <c r="Q33" t="str">
        <f t="shared" si="6"/>
        <v/>
      </c>
      <c r="R33" t="str">
        <f t="shared" si="7"/>
        <v/>
      </c>
      <c r="S33" t="str">
        <f t="shared" si="8"/>
        <v/>
      </c>
    </row>
    <row r="34" spans="1:19" x14ac:dyDescent="0.3">
      <c r="A34" s="4" t="str">
        <f>IF('Australian Transactions'!A34 = "","",'Australian Transactions'!A34)</f>
        <v/>
      </c>
      <c r="B34" s="5" t="str">
        <f>IF('Australian Transactions'!B34 = "","",'Australian Transactions'!B34)</f>
        <v/>
      </c>
      <c r="C34" s="5" t="str">
        <f>IF('Australian Transactions'!C34 = "","", IF($B34 = "BUY", 'Australian Transactions'!C34,-'Australian Transactions'!C34))</f>
        <v/>
      </c>
      <c r="D34" s="5" t="str">
        <f>IF('Australian Transactions'!D34 = "","",IF($B34 = "BUY", 'Australian Transactions'!D34,-'Australian Transactions'!D34))</f>
        <v/>
      </c>
      <c r="E34" s="5" t="str">
        <f t="shared" si="1"/>
        <v/>
      </c>
      <c r="F34" s="26"/>
      <c r="G34" s="5" t="str">
        <f t="shared" si="16"/>
        <v/>
      </c>
      <c r="H34" s="5" t="str">
        <f>IF(A34="","",COUNTIF($G$2:G34,G34))</f>
        <v/>
      </c>
      <c r="I34" s="5" t="str">
        <f t="shared" si="17"/>
        <v/>
      </c>
      <c r="J34" s="5" t="str">
        <f>IF(G34="","",IF(COUNTIF($G$2:G34,G34)&gt;1,SUMIF($A$2:A34,G34,$C$2:C34),C34))</f>
        <v/>
      </c>
      <c r="K34" s="6" t="str">
        <f>IF(G34="","",IF(COUNTIF($G$2:G34,G34)&gt;1,SUMIF($A$2:A34,G34,$D$2:D34),D34) +SUMIF($G$2:G34,G34,$M$2:M34))</f>
        <v/>
      </c>
      <c r="L34" s="6" t="str">
        <f t="shared" si="4"/>
        <v/>
      </c>
      <c r="M34" s="31" t="str">
        <f>IF(G34="","",IF(B34 = "BUY", 0,(E34-VLOOKUP(CONCATENATE(G34,(H34-1)),$I$2:L33,4,FALSE))*-C34))</f>
        <v/>
      </c>
      <c r="P34" t="str">
        <f t="shared" si="5"/>
        <v/>
      </c>
      <c r="Q34" t="str">
        <f t="shared" si="6"/>
        <v/>
      </c>
      <c r="R34" t="str">
        <f t="shared" si="7"/>
        <v/>
      </c>
      <c r="S34" t="str">
        <f t="shared" si="8"/>
        <v/>
      </c>
    </row>
    <row r="35" spans="1:19" x14ac:dyDescent="0.3">
      <c r="A35" s="4" t="str">
        <f>IF('Australian Transactions'!A35 = "","",'Australian Transactions'!A35)</f>
        <v/>
      </c>
      <c r="B35" s="5" t="str">
        <f>IF('Australian Transactions'!B35 = "","",'Australian Transactions'!B35)</f>
        <v/>
      </c>
      <c r="C35" s="5" t="str">
        <f>IF('Australian Transactions'!C35 = "","", IF($B35 = "BUY", 'Australian Transactions'!C35,-'Australian Transactions'!C35))</f>
        <v/>
      </c>
      <c r="D35" s="5" t="str">
        <f>IF('Australian Transactions'!D35 = "","",IF($B35 = "BUY", 'Australian Transactions'!D35,-'Australian Transactions'!D35))</f>
        <v/>
      </c>
      <c r="E35" s="5" t="str">
        <f t="shared" si="1"/>
        <v/>
      </c>
      <c r="F35" s="26"/>
      <c r="G35" s="5" t="str">
        <f t="shared" si="16"/>
        <v/>
      </c>
      <c r="H35" s="5" t="str">
        <f>IF(A35="","",COUNTIF($G$2:G35,G35))</f>
        <v/>
      </c>
      <c r="I35" s="5" t="str">
        <f t="shared" si="17"/>
        <v/>
      </c>
      <c r="J35" s="5" t="str">
        <f>IF(G35="","",IF(COUNTIF($G$2:G35,G35)&gt;1,SUMIF($A$2:A35,G35,$C$2:C35),C35))</f>
        <v/>
      </c>
      <c r="K35" s="6" t="str">
        <f>IF(G35="","",IF(COUNTIF($G$2:G35,G35)&gt;1,SUMIF($A$2:A35,G35,$D$2:D35),D35) +SUMIF($G$2:G35,G35,$M$2:M35))</f>
        <v/>
      </c>
      <c r="L35" s="6" t="str">
        <f t="shared" si="4"/>
        <v/>
      </c>
      <c r="M35" s="31" t="str">
        <f>IF(G35="","",IF(B35 = "BUY", 0,(E35-VLOOKUP(CONCATENATE(G35,(H35-1)),$I$2:L34,4,FALSE))*-C35))</f>
        <v/>
      </c>
      <c r="P35" t="str">
        <f t="shared" si="5"/>
        <v/>
      </c>
      <c r="Q35" t="str">
        <f t="shared" si="6"/>
        <v/>
      </c>
      <c r="R35" t="str">
        <f t="shared" si="7"/>
        <v/>
      </c>
      <c r="S35" t="str">
        <f t="shared" si="8"/>
        <v/>
      </c>
    </row>
    <row r="36" spans="1:19" x14ac:dyDescent="0.3">
      <c r="A36" s="4" t="str">
        <f>IF('Australian Transactions'!A36 = "","",'Australian Transactions'!A36)</f>
        <v/>
      </c>
      <c r="B36" s="5" t="str">
        <f>IF('Australian Transactions'!B36 = "","",'Australian Transactions'!B36)</f>
        <v/>
      </c>
      <c r="C36" s="5" t="str">
        <f>IF('Australian Transactions'!C36 = "","", IF($B36 = "BUY", 'Australian Transactions'!C36,-'Australian Transactions'!C36))</f>
        <v/>
      </c>
      <c r="D36" s="5" t="str">
        <f>IF('Australian Transactions'!D36 = "","",IF($B36 = "BUY", 'Australian Transactions'!D36,-'Australian Transactions'!D36))</f>
        <v/>
      </c>
      <c r="E36" s="5" t="str">
        <f t="shared" si="1"/>
        <v/>
      </c>
      <c r="F36" s="26"/>
      <c r="G36" s="5" t="str">
        <f t="shared" si="16"/>
        <v/>
      </c>
      <c r="H36" s="5" t="str">
        <f>IF(A36="","",COUNTIF($G$2:G36,G36))</f>
        <v/>
      </c>
      <c r="I36" s="5" t="str">
        <f t="shared" si="17"/>
        <v/>
      </c>
      <c r="J36" s="5" t="str">
        <f>IF(G36="","",IF(COUNTIF($G$2:G36,G36)&gt;1,SUMIF($A$2:A36,G36,$C$2:C36),C36))</f>
        <v/>
      </c>
      <c r="K36" s="6" t="str">
        <f>IF(G36="","",IF(COUNTIF($G$2:G36,G36)&gt;1,SUMIF($A$2:A36,G36,$D$2:D36),D36) +SUMIF($G$2:G36,G36,$M$2:M36))</f>
        <v/>
      </c>
      <c r="L36" s="6" t="str">
        <f t="shared" si="4"/>
        <v/>
      </c>
      <c r="M36" s="31" t="str">
        <f>IF(G36="","",IF(B36 = "BUY", 0,(E36-VLOOKUP(CONCATENATE(G36,(H36-1)),$I$2:L35,4,FALSE))*-C36))</f>
        <v/>
      </c>
      <c r="P36" t="str">
        <f t="shared" si="5"/>
        <v/>
      </c>
      <c r="Q36" t="str">
        <f t="shared" si="6"/>
        <v/>
      </c>
      <c r="R36" t="str">
        <f t="shared" si="7"/>
        <v/>
      </c>
      <c r="S36" t="str">
        <f t="shared" si="8"/>
        <v/>
      </c>
    </row>
    <row r="37" spans="1:19" x14ac:dyDescent="0.3">
      <c r="A37" s="4" t="str">
        <f>IF('Australian Transactions'!A37 = "","",'Australian Transactions'!A37)</f>
        <v/>
      </c>
      <c r="B37" s="5" t="str">
        <f>IF('Australian Transactions'!B37 = "","",'Australian Transactions'!B37)</f>
        <v/>
      </c>
      <c r="C37" s="5" t="str">
        <f>IF('Australian Transactions'!C37 = "","", IF($B37 = "BUY", 'Australian Transactions'!C37,-'Australian Transactions'!C37))</f>
        <v/>
      </c>
      <c r="D37" s="5" t="str">
        <f>IF('Australian Transactions'!D37 = "","",IF($B37 = "BUY", 'Australian Transactions'!D37,-'Australian Transactions'!D37))</f>
        <v/>
      </c>
      <c r="E37" s="5" t="str">
        <f t="shared" si="1"/>
        <v/>
      </c>
      <c r="F37" s="26"/>
      <c r="G37" s="5" t="str">
        <f t="shared" si="16"/>
        <v/>
      </c>
      <c r="H37" s="5" t="str">
        <f>IF(A37="","",COUNTIF($G$2:G37,G37))</f>
        <v/>
      </c>
      <c r="I37" s="5" t="str">
        <f t="shared" si="17"/>
        <v/>
      </c>
      <c r="J37" s="5" t="str">
        <f>IF(G37="","",IF(COUNTIF($G$2:G37,G37)&gt;1,SUMIF($A$2:A37,G37,$C$2:C37),C37))</f>
        <v/>
      </c>
      <c r="K37" s="6" t="str">
        <f>IF(G37="","",IF(COUNTIF($G$2:G37,G37)&gt;1,SUMIF($A$2:A37,G37,$D$2:D37),D37) +SUMIF($G$2:G37,G37,$M$2:M37))</f>
        <v/>
      </c>
      <c r="L37" s="6" t="str">
        <f t="shared" si="4"/>
        <v/>
      </c>
      <c r="M37" s="31" t="str">
        <f>IF(G37="","",IF(B37 = "BUY", 0,(E37-VLOOKUP(CONCATENATE(G37,(H37-1)),$I$2:L36,4,FALSE))*-C37))</f>
        <v/>
      </c>
      <c r="P37" t="str">
        <f t="shared" si="5"/>
        <v/>
      </c>
      <c r="Q37" t="str">
        <f t="shared" si="6"/>
        <v/>
      </c>
      <c r="R37" t="str">
        <f t="shared" si="7"/>
        <v/>
      </c>
      <c r="S37" t="str">
        <f t="shared" si="8"/>
        <v/>
      </c>
    </row>
    <row r="38" spans="1:19" x14ac:dyDescent="0.3">
      <c r="A38" s="4" t="str">
        <f>IF('Australian Transactions'!A38 = "","",'Australian Transactions'!A38)</f>
        <v/>
      </c>
      <c r="B38" s="5" t="str">
        <f>IF('Australian Transactions'!B38 = "","",'Australian Transactions'!B38)</f>
        <v/>
      </c>
      <c r="C38" s="5" t="str">
        <f>IF('Australian Transactions'!C38 = "","", IF($B38 = "BUY", 'Australian Transactions'!C38,-'Australian Transactions'!C38))</f>
        <v/>
      </c>
      <c r="D38" s="5" t="str">
        <f>IF('Australian Transactions'!D38 = "","",IF($B38 = "BUY", 'Australian Transactions'!D38,-'Australian Transactions'!D38))</f>
        <v/>
      </c>
      <c r="E38" s="5" t="str">
        <f t="shared" si="1"/>
        <v/>
      </c>
      <c r="F38" s="26"/>
      <c r="G38" s="5" t="str">
        <f t="shared" si="16"/>
        <v/>
      </c>
      <c r="H38" s="5" t="str">
        <f>IF(A38="","",COUNTIF($G$2:G38,G38))</f>
        <v/>
      </c>
      <c r="I38" s="5" t="str">
        <f t="shared" si="17"/>
        <v/>
      </c>
      <c r="J38" s="5" t="str">
        <f>IF(G38="","",IF(COUNTIF($G$2:G38,G38)&gt;1,SUMIF($A$2:A38,G38,$C$2:C38),C38))</f>
        <v/>
      </c>
      <c r="K38" s="6" t="str">
        <f>IF(G38="","",IF(COUNTIF($G$2:G38,G38)&gt;1,SUMIF($A$2:A38,G38,$D$2:D38),D38) +SUMIF($G$2:G38,G38,$M$2:M38))</f>
        <v/>
      </c>
      <c r="L38" s="6" t="str">
        <f t="shared" si="4"/>
        <v/>
      </c>
      <c r="M38" s="31" t="str">
        <f>IF(G38="","",IF(B38 = "BUY", 0,(E38-VLOOKUP(CONCATENATE(G38,(H38-1)),$I$2:L37,4,FALSE))*-C38))</f>
        <v/>
      </c>
      <c r="P38" t="str">
        <f t="shared" si="5"/>
        <v/>
      </c>
      <c r="Q38" t="str">
        <f t="shared" si="6"/>
        <v/>
      </c>
      <c r="R38" t="str">
        <f t="shared" si="7"/>
        <v/>
      </c>
      <c r="S38" t="str">
        <f t="shared" si="8"/>
        <v/>
      </c>
    </row>
    <row r="39" spans="1:19" x14ac:dyDescent="0.3">
      <c r="A39" s="4" t="str">
        <f>IF('Australian Transactions'!A39 = "","",'Australian Transactions'!A39)</f>
        <v/>
      </c>
      <c r="B39" s="5" t="str">
        <f>IF('Australian Transactions'!B39 = "","",'Australian Transactions'!B39)</f>
        <v/>
      </c>
      <c r="C39" s="5" t="str">
        <f>IF('Australian Transactions'!C39 = "","", IF($B39 = "BUY", 'Australian Transactions'!C39,-'Australian Transactions'!C39))</f>
        <v/>
      </c>
      <c r="D39" s="5" t="str">
        <f>IF('Australian Transactions'!D39 = "","",IF($B39 = "BUY", 'Australian Transactions'!D39,-'Australian Transactions'!D39))</f>
        <v/>
      </c>
      <c r="E39" s="5" t="str">
        <f t="shared" si="1"/>
        <v/>
      </c>
      <c r="F39" s="26"/>
      <c r="G39" s="5" t="str">
        <f t="shared" si="16"/>
        <v/>
      </c>
      <c r="H39" s="5" t="str">
        <f>IF(A39="","",COUNTIF($G$2:G39,G39))</f>
        <v/>
      </c>
      <c r="I39" s="5" t="str">
        <f t="shared" si="17"/>
        <v/>
      </c>
      <c r="J39" s="5" t="str">
        <f>IF(G39="","",IF(COUNTIF($G$2:G39,G39)&gt;1,SUMIF($A$2:A39,G39,$C$2:C39),C39))</f>
        <v/>
      </c>
      <c r="K39" s="6" t="str">
        <f>IF(G39="","",IF(COUNTIF($G$2:G39,G39)&gt;1,SUMIF($A$2:A39,G39,$D$2:D39),D39) +SUMIF($G$2:G39,G39,$M$2:M39))</f>
        <v/>
      </c>
      <c r="L39" s="6" t="str">
        <f t="shared" si="4"/>
        <v/>
      </c>
      <c r="M39" s="31" t="str">
        <f>IF(G39="","",IF(B39 = "BUY", 0,(E39-VLOOKUP(CONCATENATE(G39,(H39-1)),$I$2:L38,4,FALSE))*-C39))</f>
        <v/>
      </c>
      <c r="P39" t="str">
        <f t="shared" si="5"/>
        <v/>
      </c>
      <c r="Q39" t="str">
        <f t="shared" si="6"/>
        <v/>
      </c>
      <c r="R39" t="str">
        <f t="shared" si="7"/>
        <v/>
      </c>
      <c r="S39" t="str">
        <f t="shared" si="8"/>
        <v/>
      </c>
    </row>
    <row r="40" spans="1:19" x14ac:dyDescent="0.3">
      <c r="A40" s="4" t="str">
        <f>IF('Australian Transactions'!A40 = "","",'Australian Transactions'!A40)</f>
        <v/>
      </c>
      <c r="B40" s="5" t="str">
        <f>IF('Australian Transactions'!B40 = "","",'Australian Transactions'!B40)</f>
        <v/>
      </c>
      <c r="C40" s="5" t="str">
        <f>IF('Australian Transactions'!C40 = "","", IF($B40 = "BUY", 'Australian Transactions'!C40,-'Australian Transactions'!C40))</f>
        <v/>
      </c>
      <c r="D40" s="5" t="str">
        <f>IF('Australian Transactions'!D40 = "","",IF($B40 = "BUY", 'Australian Transactions'!D40,-'Australian Transactions'!D40))</f>
        <v/>
      </c>
      <c r="E40" s="5" t="str">
        <f t="shared" si="1"/>
        <v/>
      </c>
      <c r="F40" s="26"/>
      <c r="G40" s="5" t="str">
        <f t="shared" si="16"/>
        <v/>
      </c>
      <c r="H40" s="5" t="str">
        <f>IF(A40="","",COUNTIF($G$2:G40,G40))</f>
        <v/>
      </c>
      <c r="I40" s="5" t="str">
        <f t="shared" si="17"/>
        <v/>
      </c>
      <c r="J40" s="5" t="str">
        <f>IF(G40="","",IF(COUNTIF($G$2:G40,G40)&gt;1,SUMIF($A$2:A40,G40,$C$2:C40),C40))</f>
        <v/>
      </c>
      <c r="K40" s="6" t="str">
        <f>IF(G40="","",IF(COUNTIF($G$2:G40,G40)&gt;1,SUMIF($A$2:A40,G40,$D$2:D40),D40) +SUMIF($G$2:G40,G40,$M$2:M40))</f>
        <v/>
      </c>
      <c r="L40" s="6" t="str">
        <f t="shared" si="4"/>
        <v/>
      </c>
      <c r="M40" s="31" t="str">
        <f>IF(G40="","",IF(B40 = "BUY", 0,(E40-VLOOKUP(CONCATENATE(G40,(H40-1)),$I$2:L39,4,FALSE))*-C40))</f>
        <v/>
      </c>
      <c r="P40" t="str">
        <f t="shared" si="5"/>
        <v/>
      </c>
      <c r="Q40" t="str">
        <f t="shared" si="6"/>
        <v/>
      </c>
      <c r="R40" t="str">
        <f t="shared" si="7"/>
        <v/>
      </c>
      <c r="S40" t="str">
        <f t="shared" si="8"/>
        <v/>
      </c>
    </row>
    <row r="41" spans="1:19" x14ac:dyDescent="0.3">
      <c r="A41" s="4" t="str">
        <f>IF('Australian Transactions'!A41 = "","",'Australian Transactions'!A41)</f>
        <v/>
      </c>
      <c r="B41" s="5" t="str">
        <f>IF('Australian Transactions'!B41 = "","",'Australian Transactions'!B41)</f>
        <v/>
      </c>
      <c r="C41" s="5" t="str">
        <f>IF('Australian Transactions'!C41 = "","", IF($B41 = "BUY", 'Australian Transactions'!C41,-'Australian Transactions'!C41))</f>
        <v/>
      </c>
      <c r="D41" s="5" t="str">
        <f>IF('Australian Transactions'!D41 = "","",IF($B41 = "BUY", 'Australian Transactions'!D41,-'Australian Transactions'!D41))</f>
        <v/>
      </c>
      <c r="E41" s="5" t="str">
        <f t="shared" si="1"/>
        <v/>
      </c>
      <c r="F41" s="26"/>
      <c r="G41" s="5" t="str">
        <f t="shared" si="16"/>
        <v/>
      </c>
      <c r="H41" s="5" t="str">
        <f>IF(A41="","",COUNTIF($G$2:G41,G41))</f>
        <v/>
      </c>
      <c r="I41" s="5" t="str">
        <f t="shared" si="17"/>
        <v/>
      </c>
      <c r="J41" s="5" t="str">
        <f>IF(G41="","",IF(COUNTIF($G$2:G41,G41)&gt;1,SUMIF($A$2:A41,G41,$C$2:C41),C41))</f>
        <v/>
      </c>
      <c r="K41" s="6" t="str">
        <f>IF(G41="","",IF(COUNTIF($G$2:G41,G41)&gt;1,SUMIF($A$2:A41,G41,$D$2:D41),D41) +SUMIF($G$2:G41,G41,$M$2:M41))</f>
        <v/>
      </c>
      <c r="L41" s="6" t="str">
        <f t="shared" si="4"/>
        <v/>
      </c>
      <c r="M41" s="31" t="str">
        <f>IF(G41="","",IF(B41 = "BUY", 0,(E41-VLOOKUP(CONCATENATE(G41,(H41-1)),$I$2:L40,4,FALSE))*-C41))</f>
        <v/>
      </c>
      <c r="P41" t="str">
        <f t="shared" si="5"/>
        <v/>
      </c>
      <c r="Q41" t="str">
        <f t="shared" si="6"/>
        <v/>
      </c>
      <c r="R41" t="str">
        <f t="shared" si="7"/>
        <v/>
      </c>
      <c r="S41" t="str">
        <f t="shared" si="8"/>
        <v/>
      </c>
    </row>
    <row r="42" spans="1:19" x14ac:dyDescent="0.3">
      <c r="A42" s="4" t="str">
        <f>IF('Australian Transactions'!A42 = "","",'Australian Transactions'!A42)</f>
        <v/>
      </c>
      <c r="B42" s="5" t="str">
        <f>IF('Australian Transactions'!B42 = "","",'Australian Transactions'!B42)</f>
        <v/>
      </c>
      <c r="C42" s="5" t="str">
        <f>IF('Australian Transactions'!C42 = "","", IF($B42 = "BUY", 'Australian Transactions'!C42,-'Australian Transactions'!C42))</f>
        <v/>
      </c>
      <c r="D42" s="5" t="str">
        <f>IF('Australian Transactions'!D42 = "","",IF($B42 = "BUY", 'Australian Transactions'!D42,-'Australian Transactions'!D42))</f>
        <v/>
      </c>
      <c r="E42" s="5" t="str">
        <f t="shared" si="1"/>
        <v/>
      </c>
      <c r="F42" s="26"/>
      <c r="G42" s="5" t="str">
        <f t="shared" si="16"/>
        <v/>
      </c>
      <c r="H42" s="5" t="str">
        <f>IF(A42="","",COUNTIF($G$2:G42,G42))</f>
        <v/>
      </c>
      <c r="I42" s="5" t="str">
        <f t="shared" si="17"/>
        <v/>
      </c>
      <c r="J42" s="5" t="str">
        <f>IF(G42="","",IF(COUNTIF($G$2:G42,G42)&gt;1,SUMIF($A$2:A42,G42,$C$2:C42),C42))</f>
        <v/>
      </c>
      <c r="K42" s="6" t="str">
        <f>IF(G42="","",IF(COUNTIF($G$2:G42,G42)&gt;1,SUMIF($A$2:A42,G42,$D$2:D42),D42) +SUMIF($G$2:G42,G42,$M$2:M42))</f>
        <v/>
      </c>
      <c r="L42" s="6" t="str">
        <f t="shared" si="4"/>
        <v/>
      </c>
      <c r="M42" s="31" t="str">
        <f>IF(G42="","",IF(B42 = "BUY", 0,(E42-VLOOKUP(CONCATENATE(G42,(H42-1)),$I$2:L41,4,FALSE))*-C42))</f>
        <v/>
      </c>
      <c r="P42" t="str">
        <f t="shared" si="5"/>
        <v/>
      </c>
      <c r="Q42" t="str">
        <f t="shared" si="6"/>
        <v/>
      </c>
      <c r="R42" t="str">
        <f t="shared" si="7"/>
        <v/>
      </c>
      <c r="S42" t="str">
        <f t="shared" si="8"/>
        <v/>
      </c>
    </row>
    <row r="43" spans="1:19" x14ac:dyDescent="0.3">
      <c r="A43" s="4" t="str">
        <f>IF('Australian Transactions'!A43 = "","",'Australian Transactions'!A43)</f>
        <v/>
      </c>
      <c r="B43" s="5" t="str">
        <f>IF('Australian Transactions'!B43 = "","",'Australian Transactions'!B43)</f>
        <v/>
      </c>
      <c r="C43" s="5" t="str">
        <f>IF('Australian Transactions'!C43 = "","", IF($B43 = "BUY", 'Australian Transactions'!C43,-'Australian Transactions'!C43))</f>
        <v/>
      </c>
      <c r="D43" s="5" t="str">
        <f>IF('Australian Transactions'!D43 = "","",IF($B43 = "BUY", 'Australian Transactions'!D43,-'Australian Transactions'!D43))</f>
        <v/>
      </c>
      <c r="E43" s="5" t="str">
        <f t="shared" si="1"/>
        <v/>
      </c>
      <c r="F43" s="26"/>
      <c r="G43" s="5" t="str">
        <f t="shared" si="16"/>
        <v/>
      </c>
      <c r="H43" s="5" t="str">
        <f>IF(A43="","",COUNTIF($G$2:G43,G43))</f>
        <v/>
      </c>
      <c r="I43" s="5" t="str">
        <f t="shared" si="17"/>
        <v/>
      </c>
      <c r="J43" s="5" t="str">
        <f>IF(G43="","",IF(COUNTIF($G$2:G43,G43)&gt;1,SUMIF($A$2:A43,G43,$C$2:C43),C43))</f>
        <v/>
      </c>
      <c r="K43" s="6" t="str">
        <f>IF(G43="","",IF(COUNTIF($G$2:G43,G43)&gt;1,SUMIF($A$2:A43,G43,$D$2:D43),D43) +SUMIF($G$2:G43,G43,$M$2:M43))</f>
        <v/>
      </c>
      <c r="L43" s="6" t="str">
        <f t="shared" si="4"/>
        <v/>
      </c>
      <c r="M43" s="31" t="str">
        <f>IF(G43="","",IF(B43 = "BUY", 0,(E43-VLOOKUP(CONCATENATE(G43,(H43-1)),$I$2:L42,4,FALSE))*-C43))</f>
        <v/>
      </c>
      <c r="P43" t="str">
        <f t="shared" si="5"/>
        <v/>
      </c>
      <c r="Q43" t="str">
        <f t="shared" si="6"/>
        <v/>
      </c>
      <c r="R43" t="str">
        <f t="shared" si="7"/>
        <v/>
      </c>
      <c r="S43" t="str">
        <f t="shared" si="8"/>
        <v/>
      </c>
    </row>
    <row r="44" spans="1:19" x14ac:dyDescent="0.3">
      <c r="A44" s="4" t="str">
        <f>IF('Australian Transactions'!A44 = "","",'Australian Transactions'!A44)</f>
        <v/>
      </c>
      <c r="B44" s="5" t="str">
        <f>IF('Australian Transactions'!B44 = "","",'Australian Transactions'!B44)</f>
        <v/>
      </c>
      <c r="C44" s="5" t="str">
        <f>IF('Australian Transactions'!C44 = "","", IF($B44 = "BUY", 'Australian Transactions'!C44,-'Australian Transactions'!C44))</f>
        <v/>
      </c>
      <c r="D44" s="5" t="str">
        <f>IF('Australian Transactions'!D44 = "","",IF($B44 = "BUY", 'Australian Transactions'!D44,-'Australian Transactions'!D44))</f>
        <v/>
      </c>
      <c r="E44" s="5" t="str">
        <f t="shared" si="1"/>
        <v/>
      </c>
      <c r="F44" s="26"/>
      <c r="G44" s="5" t="str">
        <f t="shared" si="16"/>
        <v/>
      </c>
      <c r="H44" s="5" t="str">
        <f>IF(A44="","",COUNTIF($G$2:G44,G44))</f>
        <v/>
      </c>
      <c r="I44" s="5" t="str">
        <f t="shared" si="17"/>
        <v/>
      </c>
      <c r="J44" s="5" t="str">
        <f>IF(G44="","",IF(COUNTIF($G$2:G44,G44)&gt;1,SUMIF($A$2:A44,G44,$C$2:C44),C44))</f>
        <v/>
      </c>
      <c r="K44" s="6" t="str">
        <f>IF(G44="","",IF(COUNTIF($G$2:G44,G44)&gt;1,SUMIF($A$2:A44,G44,$D$2:D44),D44) +SUMIF($G$2:G44,G44,$M$2:M44))</f>
        <v/>
      </c>
      <c r="L44" s="6" t="str">
        <f t="shared" si="4"/>
        <v/>
      </c>
      <c r="M44" s="31" t="str">
        <f>IF(G44="","",IF(B44 = "BUY", 0,(E44-VLOOKUP(CONCATENATE(G44,(H44-1)),$I$2:L43,4,FALSE))*-C44))</f>
        <v/>
      </c>
      <c r="P44" t="str">
        <f t="shared" si="5"/>
        <v/>
      </c>
      <c r="Q44" t="str">
        <f t="shared" si="6"/>
        <v/>
      </c>
      <c r="R44" t="str">
        <f t="shared" si="7"/>
        <v/>
      </c>
      <c r="S44" t="str">
        <f t="shared" si="8"/>
        <v/>
      </c>
    </row>
    <row r="45" spans="1:19" x14ac:dyDescent="0.3">
      <c r="A45" s="4" t="str">
        <f>IF('Australian Transactions'!A45 = "","",'Australian Transactions'!A45)</f>
        <v/>
      </c>
      <c r="B45" s="5" t="str">
        <f>IF('Australian Transactions'!B45 = "","",'Australian Transactions'!B45)</f>
        <v/>
      </c>
      <c r="C45" s="5" t="str">
        <f>IF('Australian Transactions'!C45 = "","", IF($B45 = "BUY", 'Australian Transactions'!C45,-'Australian Transactions'!C45))</f>
        <v/>
      </c>
      <c r="D45" s="5" t="str">
        <f>IF('Australian Transactions'!D45 = "","",IF($B45 = "BUY", 'Australian Transactions'!D45,-'Australian Transactions'!D45))</f>
        <v/>
      </c>
      <c r="E45" s="5" t="str">
        <f t="shared" si="1"/>
        <v/>
      </c>
      <c r="F45" s="26"/>
      <c r="G45" s="5" t="str">
        <f t="shared" si="16"/>
        <v/>
      </c>
      <c r="H45" s="5" t="str">
        <f>IF(A45="","",COUNTIF($G$2:G45,G45))</f>
        <v/>
      </c>
      <c r="I45" s="5" t="str">
        <f t="shared" si="17"/>
        <v/>
      </c>
      <c r="J45" s="5" t="str">
        <f>IF(G45="","",IF(COUNTIF($G$2:G45,G45)&gt;1,SUMIF($A$2:A45,G45,$C$2:C45),C45))</f>
        <v/>
      </c>
      <c r="K45" s="6" t="str">
        <f>IF(G45="","",IF(COUNTIF($G$2:G45,G45)&gt;1,SUMIF($A$2:A45,G45,$D$2:D45),D45) +SUMIF($G$2:G45,G45,$M$2:M45))</f>
        <v/>
      </c>
      <c r="L45" s="6" t="str">
        <f t="shared" si="4"/>
        <v/>
      </c>
      <c r="M45" s="31" t="str">
        <f>IF(G45="","",IF(B45 = "BUY", 0,(E45-VLOOKUP(CONCATENATE(G45,(H45-1)),$I$2:L44,4,FALSE))*-C45))</f>
        <v/>
      </c>
      <c r="P45" t="str">
        <f t="shared" si="5"/>
        <v/>
      </c>
      <c r="Q45" t="str">
        <f t="shared" si="6"/>
        <v/>
      </c>
      <c r="R45" t="str">
        <f t="shared" si="7"/>
        <v/>
      </c>
      <c r="S45" t="str">
        <f t="shared" si="8"/>
        <v/>
      </c>
    </row>
    <row r="46" spans="1:19" x14ac:dyDescent="0.3">
      <c r="A46" s="4" t="str">
        <f>IF('Australian Transactions'!A46 = "","",'Australian Transactions'!A46)</f>
        <v/>
      </c>
      <c r="B46" s="5" t="str">
        <f>IF('Australian Transactions'!B46 = "","",'Australian Transactions'!B46)</f>
        <v/>
      </c>
      <c r="C46" s="5" t="str">
        <f>IF('Australian Transactions'!C46 = "","", IF($B46 = "BUY", 'Australian Transactions'!C46,-'Australian Transactions'!C46))</f>
        <v/>
      </c>
      <c r="D46" s="5" t="str">
        <f>IF('Australian Transactions'!D46 = "","",IF($B46 = "BUY", 'Australian Transactions'!D46,-'Australian Transactions'!D46))</f>
        <v/>
      </c>
      <c r="E46" s="5" t="str">
        <f t="shared" si="1"/>
        <v/>
      </c>
      <c r="F46" s="26"/>
      <c r="G46" s="5" t="str">
        <f t="shared" si="16"/>
        <v/>
      </c>
      <c r="H46" s="5" t="str">
        <f>IF(A46="","",COUNTIF($G$2:G46,G46))</f>
        <v/>
      </c>
      <c r="I46" s="5" t="str">
        <f t="shared" si="17"/>
        <v/>
      </c>
      <c r="J46" s="5" t="str">
        <f>IF(G46="","",IF(COUNTIF($G$2:G46,G46)&gt;1,SUMIF($A$2:A46,G46,$C$2:C46),C46))</f>
        <v/>
      </c>
      <c r="K46" s="6" t="str">
        <f>IF(G46="","",IF(COUNTIF($G$2:G46,G46)&gt;1,SUMIF($A$2:A46,G46,$D$2:D46),D46) +SUMIF($G$2:G46,G46,$M$2:M46))</f>
        <v/>
      </c>
      <c r="L46" s="6" t="str">
        <f t="shared" si="4"/>
        <v/>
      </c>
      <c r="M46" s="31" t="str">
        <f>IF(G46="","",IF(B46 = "BUY", 0,(E46-VLOOKUP(CONCATENATE(G46,(H46-1)),$I$2:L45,4,FALSE))*-C46))</f>
        <v/>
      </c>
      <c r="P46" t="str">
        <f t="shared" si="5"/>
        <v/>
      </c>
      <c r="Q46" t="str">
        <f t="shared" si="6"/>
        <v/>
      </c>
      <c r="R46" t="str">
        <f t="shared" si="7"/>
        <v/>
      </c>
      <c r="S46" t="str">
        <f t="shared" si="8"/>
        <v/>
      </c>
    </row>
    <row r="47" spans="1:19" x14ac:dyDescent="0.3">
      <c r="A47" s="4" t="str">
        <f>IF('Australian Transactions'!A47 = "","",'Australian Transactions'!A47)</f>
        <v/>
      </c>
      <c r="B47" s="5" t="str">
        <f>IF('Australian Transactions'!B47 = "","",'Australian Transactions'!B47)</f>
        <v/>
      </c>
      <c r="C47" s="5" t="str">
        <f>IF('Australian Transactions'!C47 = "","", IF($B47 = "BUY", 'Australian Transactions'!C47,-'Australian Transactions'!C47))</f>
        <v/>
      </c>
      <c r="D47" s="5" t="str">
        <f>IF('Australian Transactions'!D47 = "","",IF($B47 = "BUY", 'Australian Transactions'!D47,-'Australian Transactions'!D47))</f>
        <v/>
      </c>
      <c r="E47" s="5" t="str">
        <f t="shared" si="1"/>
        <v/>
      </c>
      <c r="F47" s="26"/>
      <c r="G47" s="5" t="str">
        <f t="shared" si="16"/>
        <v/>
      </c>
      <c r="H47" s="5" t="str">
        <f>IF(A47="","",COUNTIF($G$2:G47,G47))</f>
        <v/>
      </c>
      <c r="I47" s="5" t="str">
        <f t="shared" si="17"/>
        <v/>
      </c>
      <c r="J47" s="5" t="str">
        <f>IF(G47="","",IF(COUNTIF($G$2:G47,G47)&gt;1,SUMIF($A$2:A47,G47,$C$2:C47),C47))</f>
        <v/>
      </c>
      <c r="K47" s="6" t="str">
        <f>IF(G47="","",IF(COUNTIF($G$2:G47,G47)&gt;1,SUMIF($A$2:A47,G47,$D$2:D47),D47) +SUMIF($G$2:G47,G47,$M$2:M47))</f>
        <v/>
      </c>
      <c r="L47" s="6" t="str">
        <f t="shared" si="4"/>
        <v/>
      </c>
      <c r="M47" s="31" t="str">
        <f>IF(G47="","",IF(B47 = "BUY", 0,(E47-VLOOKUP(CONCATENATE(G47,(H47-1)),$I$2:L46,4,FALSE))*-C47))</f>
        <v/>
      </c>
      <c r="P47" t="str">
        <f t="shared" si="5"/>
        <v/>
      </c>
      <c r="Q47" t="str">
        <f t="shared" si="6"/>
        <v/>
      </c>
      <c r="R47" t="str">
        <f t="shared" si="7"/>
        <v/>
      </c>
      <c r="S47" t="str">
        <f t="shared" si="8"/>
        <v/>
      </c>
    </row>
    <row r="48" spans="1:19" x14ac:dyDescent="0.3">
      <c r="A48" s="4" t="str">
        <f>IF('Australian Transactions'!A48 = "","",'Australian Transactions'!A48)</f>
        <v/>
      </c>
      <c r="B48" s="5" t="str">
        <f>IF('Australian Transactions'!B48 = "","",'Australian Transactions'!B48)</f>
        <v/>
      </c>
      <c r="C48" s="5" t="str">
        <f>IF('Australian Transactions'!C48 = "","", IF($B48 = "BUY", 'Australian Transactions'!C48,-'Australian Transactions'!C48))</f>
        <v/>
      </c>
      <c r="D48" s="5" t="str">
        <f>IF('Australian Transactions'!D48 = "","",IF($B48 = "BUY", 'Australian Transactions'!D48,-'Australian Transactions'!D48))</f>
        <v/>
      </c>
      <c r="E48" s="5" t="str">
        <f t="shared" si="1"/>
        <v/>
      </c>
      <c r="F48" s="26"/>
      <c r="G48" s="5" t="str">
        <f t="shared" si="16"/>
        <v/>
      </c>
      <c r="H48" s="5" t="str">
        <f>IF(A48="","",COUNTIF($G$2:G48,G48))</f>
        <v/>
      </c>
      <c r="I48" s="5" t="str">
        <f t="shared" si="17"/>
        <v/>
      </c>
      <c r="J48" s="5" t="str">
        <f>IF(G48="","",IF(COUNTIF($G$2:G48,G48)&gt;1,SUMIF($A$2:A48,G48,$C$2:C48),C48))</f>
        <v/>
      </c>
      <c r="K48" s="6" t="str">
        <f>IF(G48="","",IF(COUNTIF($G$2:G48,G48)&gt;1,SUMIF($A$2:A48,G48,$D$2:D48),D48) +SUMIF($G$2:G48,G48,$M$2:M48))</f>
        <v/>
      </c>
      <c r="L48" s="6" t="str">
        <f t="shared" si="4"/>
        <v/>
      </c>
      <c r="M48" s="31" t="str">
        <f>IF(G48="","",IF(B48 = "BUY", 0,(E48-VLOOKUP(CONCATENATE(G48,(H48-1)),$I$2:L47,4,FALSE))*-C48))</f>
        <v/>
      </c>
      <c r="P48" t="str">
        <f t="shared" si="5"/>
        <v/>
      </c>
      <c r="Q48" t="str">
        <f t="shared" si="6"/>
        <v/>
      </c>
      <c r="R48" t="str">
        <f t="shared" si="7"/>
        <v/>
      </c>
      <c r="S48" t="str">
        <f t="shared" si="8"/>
        <v/>
      </c>
    </row>
    <row r="49" spans="1:19" x14ac:dyDescent="0.3">
      <c r="A49" s="4" t="str">
        <f>IF('Australian Transactions'!A49 = "","",'Australian Transactions'!A49)</f>
        <v/>
      </c>
      <c r="B49" s="5" t="str">
        <f>IF('Australian Transactions'!B49 = "","",'Australian Transactions'!B49)</f>
        <v/>
      </c>
      <c r="C49" s="5" t="str">
        <f>IF('Australian Transactions'!C49 = "","", IF($B49 = "BUY", 'Australian Transactions'!C49,-'Australian Transactions'!C49))</f>
        <v/>
      </c>
      <c r="D49" s="5" t="str">
        <f>IF('Australian Transactions'!D49 = "","",IF($B49 = "BUY", 'Australian Transactions'!D49,-'Australian Transactions'!D49))</f>
        <v/>
      </c>
      <c r="E49" s="5" t="str">
        <f t="shared" si="1"/>
        <v/>
      </c>
      <c r="F49" s="26"/>
      <c r="G49" s="5" t="str">
        <f t="shared" si="16"/>
        <v/>
      </c>
      <c r="H49" s="5" t="str">
        <f>IF(A49="","",COUNTIF($G$2:G49,G49))</f>
        <v/>
      </c>
      <c r="I49" s="5" t="str">
        <f t="shared" si="17"/>
        <v/>
      </c>
      <c r="J49" s="5" t="str">
        <f>IF(G49="","",IF(COUNTIF($G$2:G49,G49)&gt;1,SUMIF($A$2:A49,G49,$C$2:C49),C49))</f>
        <v/>
      </c>
      <c r="K49" s="6" t="str">
        <f>IF(G49="","",IF(COUNTIF($G$2:G49,G49)&gt;1,SUMIF($A$2:A49,G49,$D$2:D49),D49) +SUMIF($G$2:G49,G49,$M$2:M49))</f>
        <v/>
      </c>
      <c r="L49" s="6" t="str">
        <f t="shared" si="4"/>
        <v/>
      </c>
      <c r="M49" s="31" t="str">
        <f>IF(G49="","",IF(B49 = "BUY", 0,(E49-VLOOKUP(CONCATENATE(G49,(H49-1)),$I$2:L48,4,FALSE))*-C49))</f>
        <v/>
      </c>
      <c r="P49" t="str">
        <f t="shared" si="5"/>
        <v/>
      </c>
      <c r="Q49" t="str">
        <f t="shared" si="6"/>
        <v/>
      </c>
      <c r="R49" t="str">
        <f t="shared" si="7"/>
        <v/>
      </c>
      <c r="S49" t="str">
        <f t="shared" si="8"/>
        <v/>
      </c>
    </row>
    <row r="50" spans="1:19" x14ac:dyDescent="0.3">
      <c r="A50" s="4" t="str">
        <f>IF('Australian Transactions'!A50 = "","",'Australian Transactions'!A50)</f>
        <v/>
      </c>
      <c r="B50" s="5" t="str">
        <f>IF('Australian Transactions'!B50 = "","",'Australian Transactions'!B50)</f>
        <v/>
      </c>
      <c r="C50" s="5" t="str">
        <f>IF('Australian Transactions'!C50 = "","", IF($B50 = "BUY", 'Australian Transactions'!C50,-'Australian Transactions'!C50))</f>
        <v/>
      </c>
      <c r="D50" s="5" t="str">
        <f>IF('Australian Transactions'!D50 = "","",IF($B50 = "BUY", 'Australian Transactions'!D50,-'Australian Transactions'!D50))</f>
        <v/>
      </c>
      <c r="E50" s="5" t="str">
        <f t="shared" si="1"/>
        <v/>
      </c>
      <c r="F50" s="26"/>
      <c r="G50" s="5" t="str">
        <f t="shared" si="16"/>
        <v/>
      </c>
      <c r="H50" s="5" t="str">
        <f>IF(A50="","",COUNTIF($G$2:G50,G50))</f>
        <v/>
      </c>
      <c r="I50" s="5" t="str">
        <f t="shared" si="17"/>
        <v/>
      </c>
      <c r="J50" s="5" t="str">
        <f>IF(G50="","",IF(COUNTIF($G$2:G50,G50)&gt;1,SUMIF($A$2:A50,G50,$C$2:C50),C50))</f>
        <v/>
      </c>
      <c r="K50" s="6" t="str">
        <f>IF(G50="","",IF(COUNTIF($G$2:G50,G50)&gt;1,SUMIF($A$2:A50,G50,$D$2:D50),D50) +SUMIF($G$2:G50,G50,$M$2:M50))</f>
        <v/>
      </c>
      <c r="L50" s="6" t="str">
        <f t="shared" si="4"/>
        <v/>
      </c>
      <c r="M50" s="31" t="str">
        <f>IF(G50="","",IF(B50 = "BUY", 0,(E50-VLOOKUP(CONCATENATE(G50,(H50-1)),$I$2:L49,4,FALSE))*-C50))</f>
        <v/>
      </c>
      <c r="P50" t="str">
        <f t="shared" si="5"/>
        <v/>
      </c>
      <c r="Q50" t="str">
        <f t="shared" si="6"/>
        <v/>
      </c>
      <c r="R50" t="str">
        <f t="shared" si="7"/>
        <v/>
      </c>
      <c r="S50" t="str">
        <f t="shared" si="8"/>
        <v/>
      </c>
    </row>
    <row r="51" spans="1:19" ht="15" thickBot="1" x14ac:dyDescent="0.35">
      <c r="A51" s="7" t="str">
        <f>IF('Australian Transactions'!A51 = "","",'Australian Transactions'!A51)</f>
        <v/>
      </c>
      <c r="B51" s="8" t="str">
        <f>IF('Australian Transactions'!B51 = "","",'Australian Transactions'!B51)</f>
        <v/>
      </c>
      <c r="C51" s="8" t="str">
        <f>IF('Australian Transactions'!C51 = "","", IF($B51 = "BUY", 'Australian Transactions'!C51,-'Australian Transactions'!C51))</f>
        <v/>
      </c>
      <c r="D51" s="8" t="str">
        <f>IF('Australian Transactions'!D51 = "","",IF($B51 = "BUY", 'Australian Transactions'!D51,-'Australian Transactions'!D51))</f>
        <v/>
      </c>
      <c r="E51" s="8" t="str">
        <f t="shared" si="1"/>
        <v/>
      </c>
      <c r="F51" s="27"/>
      <c r="G51" s="8" t="str">
        <f t="shared" si="16"/>
        <v/>
      </c>
      <c r="H51" s="8" t="str">
        <f>IF(A51="","",COUNTIF($G$2:G51,G51))</f>
        <v/>
      </c>
      <c r="I51" s="8" t="str">
        <f t="shared" si="17"/>
        <v/>
      </c>
      <c r="J51" s="8" t="str">
        <f>IF(G51="","",IF(COUNTIF($G$2:G51,G51)&gt;1,SUMIF($A$2:A51,G51,$C$2:C51),C51))</f>
        <v/>
      </c>
      <c r="K51" s="9" t="str">
        <f>IF(G51="","",IF(COUNTIF($G$2:G51,G51)&gt;1,SUMIF($A$2:A51,G51,$D$2:D51),D51) +SUMIF($G$2:G51,G51,$M$2:M51))</f>
        <v/>
      </c>
      <c r="L51" s="9" t="str">
        <f t="shared" si="4"/>
        <v/>
      </c>
      <c r="M51" s="32" t="str">
        <f>IF(G51="","",IF(B51 = "BUY", 0,(E51-VLOOKUP(CONCATENATE(G51,(H51-1)),$I$2:L50,4,FALSE))*-C51))</f>
        <v/>
      </c>
      <c r="P51" t="str">
        <f t="shared" si="5"/>
        <v/>
      </c>
      <c r="Q51" t="str">
        <f t="shared" si="6"/>
        <v/>
      </c>
      <c r="R51" t="str">
        <f t="shared" si="7"/>
        <v/>
      </c>
      <c r="S51" t="str">
        <f t="shared" si="8"/>
        <v/>
      </c>
    </row>
    <row r="52" spans="1:19" x14ac:dyDescent="0.3">
      <c r="A52" t="s">
        <v>12</v>
      </c>
      <c r="B52">
        <v>200</v>
      </c>
      <c r="C52">
        <v>4400</v>
      </c>
      <c r="D52" t="s">
        <v>97</v>
      </c>
      <c r="E52" t="s">
        <v>75</v>
      </c>
    </row>
    <row r="53" spans="1:19" x14ac:dyDescent="0.3">
      <c r="A53" t="s">
        <v>12</v>
      </c>
      <c r="B53">
        <v>200</v>
      </c>
      <c r="C53">
        <v>4400</v>
      </c>
      <c r="D53" t="s">
        <v>97</v>
      </c>
      <c r="E53" t="s">
        <v>75</v>
      </c>
    </row>
    <row r="54" spans="1:19" x14ac:dyDescent="0.3">
      <c r="A54" t="s">
        <v>98</v>
      </c>
      <c r="B54">
        <v>10</v>
      </c>
      <c r="C54">
        <v>10</v>
      </c>
      <c r="D54" t="s">
        <v>99</v>
      </c>
      <c r="E54" t="s">
        <v>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69779-6A22-42BF-842E-1231272070FC}">
  <sheetPr codeName="Sheet3"/>
  <dimension ref="A1:L28"/>
  <sheetViews>
    <sheetView workbookViewId="0">
      <selection activeCell="G13" sqref="G13"/>
    </sheetView>
  </sheetViews>
  <sheetFormatPr defaultRowHeight="14.4" x14ac:dyDescent="0.3"/>
  <cols>
    <col min="1" max="1" width="8.6640625" customWidth="1"/>
    <col min="2" max="2" width="44.77734375" customWidth="1"/>
    <col min="3" max="3" width="8.21875" bestFit="1" customWidth="1"/>
    <col min="4" max="4" width="13.21875" bestFit="1" customWidth="1"/>
    <col min="5" max="5" width="11.5546875" bestFit="1" customWidth="1"/>
    <col min="6" max="7" width="14.5546875" bestFit="1" customWidth="1"/>
    <col min="8" max="8" width="9.21875" bestFit="1" customWidth="1"/>
    <col min="9" max="10" width="13" bestFit="1" customWidth="1"/>
    <col min="11" max="11" width="10.88671875" bestFit="1" customWidth="1"/>
  </cols>
  <sheetData>
    <row r="1" spans="1:12" ht="15" thickBot="1" x14ac:dyDescent="0.35">
      <c r="A1" s="10" t="s">
        <v>71</v>
      </c>
      <c r="B1" s="11" t="s">
        <v>100</v>
      </c>
      <c r="C1" s="11" t="s">
        <v>69</v>
      </c>
      <c r="D1" s="11" t="s">
        <v>95</v>
      </c>
      <c r="E1" s="11" t="s">
        <v>76</v>
      </c>
      <c r="F1" s="11" t="s">
        <v>77</v>
      </c>
      <c r="G1" s="11" t="s">
        <v>78</v>
      </c>
      <c r="H1" s="11" t="s">
        <v>73</v>
      </c>
      <c r="I1" s="11" t="s">
        <v>79</v>
      </c>
      <c r="J1" s="65" t="s">
        <v>80</v>
      </c>
      <c r="K1" s="65" t="s">
        <v>87</v>
      </c>
      <c r="L1" s="66" t="s">
        <v>125</v>
      </c>
    </row>
    <row r="2" spans="1:12" x14ac:dyDescent="0.3">
      <c r="A2" s="4" t="str" cm="1">
        <f t="array" ref="A2:A5">_xlfn.UNIQUE('AUS Calculations'!U2:U21,FALSE,TRUE)</f>
        <v>WBC</v>
      </c>
      <c r="B2" s="5" t="e" vm="1">
        <v>#VALUE!</v>
      </c>
      <c r="C2" s="6">
        <f>IF(A2="","",SUMIF('AUS Calculations'!$U$2:$U$21,'Australian Portfolio'!A2,'AUS Calculations'!$W$2:$W$21))</f>
        <v>19</v>
      </c>
      <c r="D2" s="6">
        <f>IF(A2="","",SUMIF('AUS Calculations'!$U$2:$U$21,'Australian Portfolio'!A2,'AUS Calculations'!$Y$2:$Y$21))</f>
        <v>30.346315789473685</v>
      </c>
      <c r="E2" s="15" cm="1">
        <f t="array" ref="E2">IF(A2="","",_FV(B2,"Price"))</f>
        <v>18.12</v>
      </c>
      <c r="F2" s="16" cm="1">
        <f t="array" ref="F2">IF(A2="","",_FV(B2,"Change"))</f>
        <v>0.44</v>
      </c>
      <c r="G2" s="16">
        <f>IFERROR(F2*C2,"")</f>
        <v>8.36</v>
      </c>
      <c r="H2" s="6">
        <f>IF(A2="","",SUMIF('AUS Calculations'!$U$2:$U$21,'Australian Portfolio'!A2,'AUS Calculations'!$X$2:$X$21))</f>
        <v>576.58000000000004</v>
      </c>
      <c r="I2" s="15">
        <f>IFERROR(E2*C2,"")</f>
        <v>344.28000000000003</v>
      </c>
      <c r="J2" s="15">
        <f>IFERROR(I2-H2,"")</f>
        <v>-232.3</v>
      </c>
      <c r="K2" s="16">
        <f>IF(A2="","",SUMIF('AUS Calculations'!$U$2:$U$21,'Australian Portfolio'!A2,'AUS Calculations'!$V$2:$V$21))</f>
        <v>0</v>
      </c>
      <c r="L2" s="71">
        <f>IF(A2="","",SUMIF(Dividend!A1:A289,'Australian Portfolio'!A2,Dividend!B1:B289))</f>
        <v>15.2</v>
      </c>
    </row>
    <row r="3" spans="1:12" x14ac:dyDescent="0.3">
      <c r="A3" s="4" t="str">
        <v>IOZ</v>
      </c>
      <c r="B3" s="5" t="e" vm="2">
        <v>#VALUE!</v>
      </c>
      <c r="C3" s="6">
        <f>IF(A3="","",SUMIF('AUS Calculations'!$U$2:$U$21,'Australian Portfolio'!A3,'AUS Calculations'!$W$2:$W$21))</f>
        <v>36</v>
      </c>
      <c r="D3" s="6">
        <f>IF(A3="","",SUMIF('AUS Calculations'!$U$2:$U$21,'Australian Portfolio'!A3,'AUS Calculations'!$Y$2:$Y$21))</f>
        <v>21.157777777777778</v>
      </c>
      <c r="E3" s="15" cm="1">
        <f t="array" ref="E3">IF(A3="","",_FV(B3,"Price"))</f>
        <v>25.14</v>
      </c>
      <c r="F3" s="16" cm="1">
        <f t="array" ref="F3">IF(A3="","",_FV(B3,"Change"))</f>
        <v>0.63</v>
      </c>
      <c r="G3" s="16">
        <f t="shared" ref="G3:G21" si="0">IFERROR(F3*C3,"")</f>
        <v>22.68</v>
      </c>
      <c r="H3" s="6">
        <f>IF(A3="","",SUMIF('AUS Calculations'!$U$2:$U$21,'Australian Portfolio'!A3,'AUS Calculations'!$X$2:$X$21))</f>
        <v>761.68</v>
      </c>
      <c r="I3" s="15">
        <f t="shared" ref="I3:I21" si="1">IFERROR(E3*C3,"")</f>
        <v>905.04</v>
      </c>
      <c r="J3" s="15">
        <f t="shared" ref="J3:J21" si="2">IFERROR(I3-H3,"")</f>
        <v>143.36000000000001</v>
      </c>
      <c r="K3" s="16">
        <f>IF(A3="","",SUMIF('AUS Calculations'!$U$2:$U$21,'Australian Portfolio'!A3,'AUS Calculations'!$V$2:$V$21))</f>
        <v>0</v>
      </c>
      <c r="L3" s="71">
        <f>IF(A3="","",SUMIF(Dividend!$A$1:$A$289,'Australian Portfolio'!A3,Dividend!$B$1:$B$289))</f>
        <v>6.89</v>
      </c>
    </row>
    <row r="4" spans="1:12" x14ac:dyDescent="0.3">
      <c r="A4" s="4" t="str">
        <v>CBA</v>
      </c>
      <c r="B4" s="5" t="e" vm="3">
        <v>#VALUE!</v>
      </c>
      <c r="C4" s="6">
        <f>IF(A4="","",SUMIF('AUS Calculations'!$U$2:$U$21,'Australian Portfolio'!A4,'AUS Calculations'!$W$2:$W$21))</f>
        <v>10</v>
      </c>
      <c r="D4" s="6">
        <f>IF(A4="","",SUMIF('AUS Calculations'!$U$2:$U$21,'Australian Portfolio'!A4,'AUS Calculations'!$Y$2:$Y$21))</f>
        <v>60.7</v>
      </c>
      <c r="E4" s="15" cm="1">
        <f t="array" ref="E4">IF(A4="","",_FV(B4,"Price"))</f>
        <v>74.430000000000007</v>
      </c>
      <c r="F4" s="16" cm="1">
        <f t="array" ref="F4">IF(A4="","",_FV(B4,"Change"))</f>
        <v>2.44</v>
      </c>
      <c r="G4" s="16">
        <f t="shared" si="0"/>
        <v>24.4</v>
      </c>
      <c r="H4" s="6">
        <f>IF(A4="","",SUMIF('AUS Calculations'!$U$2:$U$21,'Australian Portfolio'!A4,'AUS Calculations'!$X$2:$X$21))</f>
        <v>607</v>
      </c>
      <c r="I4" s="15">
        <f t="shared" si="1"/>
        <v>744.30000000000007</v>
      </c>
      <c r="J4" s="15">
        <f t="shared" si="2"/>
        <v>137.30000000000007</v>
      </c>
      <c r="K4" s="16">
        <f>IF(A4="","",SUMIF('AUS Calculations'!$U$2:$U$21,'Australian Portfolio'!A4,'AUS Calculations'!$V$2:$V$21))</f>
        <v>0</v>
      </c>
      <c r="L4" s="71">
        <f>IF(A4="","",SUMIF(Dividend!$A$1:$A$289,'Australian Portfolio'!A4,Dividend!$B$1:$B$289))</f>
        <v>0</v>
      </c>
    </row>
    <row r="5" spans="1:12" x14ac:dyDescent="0.3">
      <c r="A5" s="4" t="str">
        <v>TLS</v>
      </c>
      <c r="B5" s="5" t="e" vm="4">
        <v>#VALUE!</v>
      </c>
      <c r="C5" s="6">
        <f>IF(A5="","",SUMIF('AUS Calculations'!$U$2:$U$21,'Australian Portfolio'!A5,'AUS Calculations'!$W$2:$W$21))</f>
        <v>329</v>
      </c>
      <c r="D5" s="6">
        <f>IF(A5="","",SUMIF('AUS Calculations'!$U$2:$U$21,'Australian Portfolio'!A5,'AUS Calculations'!$Y$2:$Y$21))</f>
        <v>3.08</v>
      </c>
      <c r="E5" s="15" cm="1">
        <f t="array" ref="E5">IF(A5="","",_FV(B5,"Price"))</f>
        <v>3.4</v>
      </c>
      <c r="F5" s="16" cm="1">
        <f t="array" ref="F5">IF(A5="","",_FV(B5,"Change"))</f>
        <v>0</v>
      </c>
      <c r="G5" s="16">
        <f t="shared" si="0"/>
        <v>0</v>
      </c>
      <c r="H5" s="6">
        <f>IF(A5="","",SUMIF('AUS Calculations'!$U$2:$U$21,'Australian Portfolio'!A5,'AUS Calculations'!$X$2:$X$21))</f>
        <v>1013.32</v>
      </c>
      <c r="I5" s="15">
        <f t="shared" si="1"/>
        <v>1118.5999999999999</v>
      </c>
      <c r="J5" s="15">
        <f t="shared" si="2"/>
        <v>105.27999999999986</v>
      </c>
      <c r="K5" s="16">
        <f>IF(A5="","",SUMIF('AUS Calculations'!$U$2:$U$21,'Australian Portfolio'!A5,'AUS Calculations'!$V$2:$V$21))</f>
        <v>0</v>
      </c>
      <c r="L5" s="71">
        <f>IF(A5="","",SUMIF(Dividend!$A$1:$A$289,'Australian Portfolio'!A5,Dividend!$B$1:$B$289))</f>
        <v>0</v>
      </c>
    </row>
    <row r="6" spans="1:12" x14ac:dyDescent="0.3">
      <c r="A6" s="4" t="str">
        <f>IF('AUS Calculations'!O6="","",'AUS Calculations'!O6)</f>
        <v/>
      </c>
      <c r="B6" s="5"/>
      <c r="C6" s="6" t="str">
        <f>IF(A6="","",SUMIF('AUS Calculations'!$U$2:$U$21,'Australian Portfolio'!A6,'AUS Calculations'!$W$2:$W$21))</f>
        <v/>
      </c>
      <c r="D6" s="6" t="str">
        <f>IF(A6="","",SUMIF('AUS Calculations'!$U$2:$U$21,'Australian Portfolio'!A6,'AUS Calculations'!$Y$2:$Y$21))</f>
        <v/>
      </c>
      <c r="E6" s="15" t="str" cm="1">
        <f t="array" ref="E6">IF(A6="","",_FV(B6,"Price"))</f>
        <v/>
      </c>
      <c r="F6" s="16" t="str" cm="1">
        <f t="array" ref="F6">IF(A6="","",_FV(B6,"Change"))</f>
        <v/>
      </c>
      <c r="G6" s="16" t="str">
        <f t="shared" si="0"/>
        <v/>
      </c>
      <c r="H6" s="6" t="str">
        <f>IF(A6="","",SUMIF('AUS Calculations'!$U$2:$U$21,'Australian Portfolio'!A6,'AUS Calculations'!$X$2:$X$21))</f>
        <v/>
      </c>
      <c r="I6" s="15" t="str">
        <f t="shared" si="1"/>
        <v/>
      </c>
      <c r="J6" s="15" t="str">
        <f t="shared" si="2"/>
        <v/>
      </c>
      <c r="K6" s="16" t="str">
        <f>IF(A6="","",SUMIF('AUS Calculations'!$U$2:$U$21,'Australian Portfolio'!A6,'AUS Calculations'!$V$2:$V$21))</f>
        <v/>
      </c>
      <c r="L6" s="71" t="str">
        <f>IF(A6="","",SUMIF(Dividend!$A$1:$A$289,'Australian Portfolio'!A6,Dividend!$B$1:$B$289))</f>
        <v/>
      </c>
    </row>
    <row r="7" spans="1:12" x14ac:dyDescent="0.3">
      <c r="A7" s="4" t="str">
        <f>IF('AUS Calculations'!O7="","",'AUS Calculations'!O7)</f>
        <v/>
      </c>
      <c r="B7" s="5"/>
      <c r="C7" s="6" t="str">
        <f>IF(A7="","",SUMIF('AUS Calculations'!$U$2:$U$21,'Australian Portfolio'!A7,'AUS Calculations'!$W$2:$W$21))</f>
        <v/>
      </c>
      <c r="D7" s="6" t="str">
        <f>IF(A7="","",SUMIF('AUS Calculations'!$U$2:$U$21,'Australian Portfolio'!A7,'AUS Calculations'!$Y$2:$Y$21))</f>
        <v/>
      </c>
      <c r="E7" s="15" t="str" cm="1">
        <f t="array" ref="E7">IF(A7="","",_FV(B7,"Price"))</f>
        <v/>
      </c>
      <c r="F7" s="16" t="str" cm="1">
        <f t="array" ref="F7">IF(A7="","",_FV(B7,"Change"))</f>
        <v/>
      </c>
      <c r="G7" s="16" t="str">
        <f t="shared" si="0"/>
        <v/>
      </c>
      <c r="H7" s="6" t="str">
        <f>IF(A7="","",SUMIF('AUS Calculations'!$U$2:$U$21,'Australian Portfolio'!A7,'AUS Calculations'!$X$2:$X$21))</f>
        <v/>
      </c>
      <c r="I7" s="15" t="str">
        <f t="shared" si="1"/>
        <v/>
      </c>
      <c r="J7" s="15" t="str">
        <f t="shared" si="2"/>
        <v/>
      </c>
      <c r="K7" s="16" t="str">
        <f>IF(A7="","",SUMIF('AUS Calculations'!$U$2:$U$21,'Australian Portfolio'!A7,'AUS Calculations'!$V$2:$V$21))</f>
        <v/>
      </c>
      <c r="L7" s="71" t="str">
        <f>IF(A7="","",SUMIF(Dividend!$A$1:$A$289,'Australian Portfolio'!A7,Dividend!$B$1:$B$289))</f>
        <v/>
      </c>
    </row>
    <row r="8" spans="1:12" x14ac:dyDescent="0.3">
      <c r="A8" s="4" t="str">
        <f>IF('AUS Calculations'!O8="","",'AUS Calculations'!O8)</f>
        <v/>
      </c>
      <c r="B8" s="5"/>
      <c r="C8" s="6" t="str">
        <f>IF(A8="","",SUMIF('AUS Calculations'!$U$2:$U$21,'Australian Portfolio'!A8,'AUS Calculations'!$W$2:$W$21))</f>
        <v/>
      </c>
      <c r="D8" s="6" t="str">
        <f>IF(A8="","",SUMIF('AUS Calculations'!$U$2:$U$21,'Australian Portfolio'!A8,'AUS Calculations'!$Y$2:$Y$21))</f>
        <v/>
      </c>
      <c r="E8" s="15" t="str" cm="1">
        <f t="array" ref="E8">IF(A8="","",_FV(B8,"Price"))</f>
        <v/>
      </c>
      <c r="F8" s="16" t="str" cm="1">
        <f t="array" ref="F8">IF(A8="","",_FV(B8,"Change"))</f>
        <v/>
      </c>
      <c r="G8" s="16" t="str">
        <f t="shared" si="0"/>
        <v/>
      </c>
      <c r="H8" s="6" t="str">
        <f>IF(A8="","",SUMIF('AUS Calculations'!$U$2:$U$21,'Australian Portfolio'!A8,'AUS Calculations'!$X$2:$X$21))</f>
        <v/>
      </c>
      <c r="I8" s="15" t="str">
        <f t="shared" si="1"/>
        <v/>
      </c>
      <c r="J8" s="15" t="str">
        <f t="shared" si="2"/>
        <v/>
      </c>
      <c r="K8" s="16" t="str">
        <f>IF(A8="","",SUMIF('AUS Calculations'!$U$2:$U$21,'Australian Portfolio'!A8,'AUS Calculations'!$V$2:$V$21))</f>
        <v/>
      </c>
      <c r="L8" s="71" t="str">
        <f>IF(A8="","",SUMIF(Dividend!$A$1:$A$289,'Australian Portfolio'!A8,Dividend!$B$1:$B$289))</f>
        <v/>
      </c>
    </row>
    <row r="9" spans="1:12" x14ac:dyDescent="0.3">
      <c r="A9" s="4" t="str">
        <f>IF('AUS Calculations'!O9="","",'AUS Calculations'!O9)</f>
        <v/>
      </c>
      <c r="B9" s="5"/>
      <c r="C9" s="6" t="str">
        <f>IF(A9="","",SUMIF('AUS Calculations'!$U$2:$U$21,'Australian Portfolio'!A9,'AUS Calculations'!$W$2:$W$21))</f>
        <v/>
      </c>
      <c r="D9" s="6" t="str">
        <f>IF(A9="","",SUMIF('AUS Calculations'!$U$2:$U$21,'Australian Portfolio'!A9,'AUS Calculations'!$Y$2:$Y$21))</f>
        <v/>
      </c>
      <c r="E9" s="15" t="str" cm="1">
        <f t="array" ref="E9">IF(A9="","",_FV(B9,"Price"))</f>
        <v/>
      </c>
      <c r="F9" s="16" t="str" cm="1">
        <f t="array" ref="F9">IF(A9="","",_FV(B9,"Change"))</f>
        <v/>
      </c>
      <c r="G9" s="16" t="str">
        <f t="shared" si="0"/>
        <v/>
      </c>
      <c r="H9" s="6" t="str">
        <f>IF(A9="","",SUMIF('AUS Calculations'!$U$2:$U$21,'Australian Portfolio'!A9,'AUS Calculations'!$X$2:$X$21))</f>
        <v/>
      </c>
      <c r="I9" s="15" t="str">
        <f t="shared" si="1"/>
        <v/>
      </c>
      <c r="J9" s="15" t="str">
        <f t="shared" si="2"/>
        <v/>
      </c>
      <c r="K9" s="16" t="str">
        <f>IF(A9="","",SUMIF('AUS Calculations'!$U$2:$U$21,'Australian Portfolio'!A9,'AUS Calculations'!$V$2:$V$21))</f>
        <v/>
      </c>
      <c r="L9" s="71" t="str">
        <f>IF(A9="","",SUMIF(Dividend!$A$1:$A$289,'Australian Portfolio'!A9,Dividend!$B$1:$B$289))</f>
        <v/>
      </c>
    </row>
    <row r="10" spans="1:12" x14ac:dyDescent="0.3">
      <c r="A10" s="4" t="str">
        <f>IF('AUS Calculations'!O10="","",'AUS Calculations'!O10)</f>
        <v/>
      </c>
      <c r="B10" s="5"/>
      <c r="C10" s="6" t="str">
        <f>IF(A10="","",SUMIF('AUS Calculations'!$U$2:$U$21,'Australian Portfolio'!A10,'AUS Calculations'!$W$2:$W$21))</f>
        <v/>
      </c>
      <c r="D10" s="6" t="str">
        <f>IF(A10="","",SUMIF('AUS Calculations'!$U$2:$U$21,'Australian Portfolio'!A10,'AUS Calculations'!$Y$2:$Y$21))</f>
        <v/>
      </c>
      <c r="E10" s="15" t="str" cm="1">
        <f t="array" ref="E10">IF(A10="","",_FV(B10,"Price"))</f>
        <v/>
      </c>
      <c r="F10" s="16" t="str" cm="1">
        <f t="array" ref="F10">IF(A10="","",_FV(B10,"Change"))</f>
        <v/>
      </c>
      <c r="G10" s="16" t="str">
        <f t="shared" si="0"/>
        <v/>
      </c>
      <c r="H10" s="6" t="str">
        <f>IF(A10="","",SUMIF('AUS Calculations'!$U$2:$U$21,'Australian Portfolio'!A10,'AUS Calculations'!$X$2:$X$21))</f>
        <v/>
      </c>
      <c r="I10" s="15" t="str">
        <f t="shared" si="1"/>
        <v/>
      </c>
      <c r="J10" s="15" t="str">
        <f t="shared" si="2"/>
        <v/>
      </c>
      <c r="K10" s="16" t="str">
        <f>IF(A10="","",SUMIF('AUS Calculations'!$U$2:$U$21,'Australian Portfolio'!A10,'AUS Calculations'!$V$2:$V$21))</f>
        <v/>
      </c>
      <c r="L10" s="71" t="str">
        <f>IF(A10="","",SUMIF(Dividend!$A$1:$A$289,'Australian Portfolio'!A10,Dividend!$B$1:$B$289))</f>
        <v/>
      </c>
    </row>
    <row r="11" spans="1:12" x14ac:dyDescent="0.3">
      <c r="A11" s="4" t="str">
        <f>IF('AUS Calculations'!O11="","",'AUS Calculations'!O11)</f>
        <v/>
      </c>
      <c r="B11" s="5"/>
      <c r="C11" s="6" t="str">
        <f>IF(A11="","",SUMIF('AUS Calculations'!$U$2:$U$21,'Australian Portfolio'!A11,'AUS Calculations'!$W$2:$W$21))</f>
        <v/>
      </c>
      <c r="D11" s="6" t="str">
        <f>IF(A11="","",SUMIF('AUS Calculations'!$U$2:$U$21,'Australian Portfolio'!A11,'AUS Calculations'!$Y$2:$Y$21))</f>
        <v/>
      </c>
      <c r="E11" s="15" t="str" cm="1">
        <f t="array" ref="E11">IF(A11="","",_FV(B11,"Price"))</f>
        <v/>
      </c>
      <c r="F11" s="16" t="str" cm="1">
        <f t="array" ref="F11">IF(A11="","",_FV(B11,"Change"))</f>
        <v/>
      </c>
      <c r="G11" s="16" t="str">
        <f t="shared" si="0"/>
        <v/>
      </c>
      <c r="H11" s="6" t="str">
        <f>IF(A11="","",SUMIF('AUS Calculations'!$U$2:$U$21,'Australian Portfolio'!A11,'AUS Calculations'!$X$2:$X$21))</f>
        <v/>
      </c>
      <c r="I11" s="15" t="str">
        <f t="shared" si="1"/>
        <v/>
      </c>
      <c r="J11" s="15" t="str">
        <f t="shared" si="2"/>
        <v/>
      </c>
      <c r="K11" s="16" t="str">
        <f>IF(A11="","",SUMIF('AUS Calculations'!$U$2:$U$21,'Australian Portfolio'!A11,'AUS Calculations'!$V$2:$V$21))</f>
        <v/>
      </c>
      <c r="L11" s="71" t="str">
        <f>IF(A11="","",SUMIF(Dividend!$A$1:$A$289,'Australian Portfolio'!A11,Dividend!$B$1:$B$289))</f>
        <v/>
      </c>
    </row>
    <row r="12" spans="1:12" x14ac:dyDescent="0.3">
      <c r="A12" s="4" t="str">
        <f>IF('AUS Calculations'!O12="","",'AUS Calculations'!O12)</f>
        <v/>
      </c>
      <c r="B12" s="5"/>
      <c r="C12" s="6" t="str">
        <f>IF(A12="","",SUMIF('AUS Calculations'!$U$2:$U$21,'Australian Portfolio'!A12,'AUS Calculations'!$W$2:$W$21))</f>
        <v/>
      </c>
      <c r="D12" s="6" t="str">
        <f>IF(A12="","",SUMIF('AUS Calculations'!$U$2:$U$21,'Australian Portfolio'!A12,'AUS Calculations'!$Y$2:$Y$21))</f>
        <v/>
      </c>
      <c r="E12" s="15" t="str" cm="1">
        <f t="array" ref="E12">IF(A12="","",_FV(B12,"Price"))</f>
        <v/>
      </c>
      <c r="F12" s="16" t="str" cm="1">
        <f t="array" ref="F12">IF(A12="","",_FV(B12,"Change"))</f>
        <v/>
      </c>
      <c r="G12" s="16" t="str">
        <f t="shared" si="0"/>
        <v/>
      </c>
      <c r="H12" s="6" t="str">
        <f>IF(A12="","",SUMIF('AUS Calculations'!$U$2:$U$21,'Australian Portfolio'!A12,'AUS Calculations'!$X$2:$X$21))</f>
        <v/>
      </c>
      <c r="I12" s="15" t="str">
        <f t="shared" si="1"/>
        <v/>
      </c>
      <c r="J12" s="15" t="str">
        <f t="shared" si="2"/>
        <v/>
      </c>
      <c r="K12" s="16" t="str">
        <f>IF(A12="","",SUMIF('AUS Calculations'!$U$2:$U$21,'Australian Portfolio'!A12,'AUS Calculations'!$V$2:$V$21))</f>
        <v/>
      </c>
      <c r="L12" s="71" t="str">
        <f>IF(A12="","",SUMIF(Dividend!$A$1:$A$289,'Australian Portfolio'!A12,Dividend!$B$1:$B$289))</f>
        <v/>
      </c>
    </row>
    <row r="13" spans="1:12" x14ac:dyDescent="0.3">
      <c r="A13" s="4" t="str">
        <f>IF('AUS Calculations'!O13="","",'AUS Calculations'!O13)</f>
        <v/>
      </c>
      <c r="B13" s="5"/>
      <c r="C13" s="6" t="str">
        <f>IF(A13="","",SUMIF('AUS Calculations'!$U$2:$U$21,'Australian Portfolio'!A13,'AUS Calculations'!$W$2:$W$21))</f>
        <v/>
      </c>
      <c r="D13" s="6" t="str">
        <f>IF(A13="","",SUMIF('AUS Calculations'!$U$2:$U$21,'Australian Portfolio'!A13,'AUS Calculations'!$Y$2:$Y$21))</f>
        <v/>
      </c>
      <c r="E13" s="15" t="str" cm="1">
        <f t="array" ref="E13">IF(A13="","",_FV(B13,"Price"))</f>
        <v/>
      </c>
      <c r="F13" s="16" t="str" cm="1">
        <f t="array" ref="F13">IF(A13="","",_FV(B13,"Change"))</f>
        <v/>
      </c>
      <c r="G13" s="16" t="str">
        <f t="shared" si="0"/>
        <v/>
      </c>
      <c r="H13" s="6" t="str">
        <f>IF(A13="","",SUMIF('AUS Calculations'!$U$2:$U$21,'Australian Portfolio'!A13,'AUS Calculations'!$X$2:$X$21))</f>
        <v/>
      </c>
      <c r="I13" s="15" t="str">
        <f t="shared" si="1"/>
        <v/>
      </c>
      <c r="J13" s="15" t="str">
        <f t="shared" si="2"/>
        <v/>
      </c>
      <c r="K13" s="16" t="str">
        <f>IF(A13="","",SUMIF('AUS Calculations'!$U$2:$U$21,'Australian Portfolio'!A13,'AUS Calculations'!$V$2:$V$21))</f>
        <v/>
      </c>
      <c r="L13" s="71" t="str">
        <f>IF(A13="","",SUMIF(Dividend!$A$1:$A$289,'Australian Portfolio'!A13,Dividend!$B$1:$B$289))</f>
        <v/>
      </c>
    </row>
    <row r="14" spans="1:12" x14ac:dyDescent="0.3">
      <c r="A14" s="4" t="str">
        <f>IF('AUS Calculations'!O14="","",'AUS Calculations'!O14)</f>
        <v/>
      </c>
      <c r="B14" s="5"/>
      <c r="C14" s="6" t="str">
        <f>IF(A14="","",SUMIF('AUS Calculations'!$U$2:$U$21,'Australian Portfolio'!A14,'AUS Calculations'!$W$2:$W$21))</f>
        <v/>
      </c>
      <c r="D14" s="6" t="str">
        <f>IF(A14="","",SUMIF('AUS Calculations'!$U$2:$U$21,'Australian Portfolio'!A14,'AUS Calculations'!$Y$2:$Y$21))</f>
        <v/>
      </c>
      <c r="E14" s="15" t="str" cm="1">
        <f t="array" ref="E14">IF(A14="","",_FV(B14,"Price"))</f>
        <v/>
      </c>
      <c r="F14" s="16" t="str" cm="1">
        <f t="array" ref="F14">IF(A14="","",_FV(B14,"Change"))</f>
        <v/>
      </c>
      <c r="G14" s="16" t="str">
        <f t="shared" si="0"/>
        <v/>
      </c>
      <c r="H14" s="6" t="str">
        <f>IF(A14="","",SUMIF('AUS Calculations'!$U$2:$U$21,'Australian Portfolio'!A14,'AUS Calculations'!$X$2:$X$21))</f>
        <v/>
      </c>
      <c r="I14" s="15" t="str">
        <f t="shared" si="1"/>
        <v/>
      </c>
      <c r="J14" s="15" t="str">
        <f t="shared" si="2"/>
        <v/>
      </c>
      <c r="K14" s="16" t="str">
        <f>IF(A14="","",SUMIF('AUS Calculations'!$U$2:$U$21,'Australian Portfolio'!A14,'AUS Calculations'!$V$2:$V$21))</f>
        <v/>
      </c>
      <c r="L14" s="71" t="str">
        <f>IF(A14="","",SUMIF(Dividend!$A$1:$A$289,'Australian Portfolio'!A14,Dividend!$B$1:$B$289))</f>
        <v/>
      </c>
    </row>
    <row r="15" spans="1:12" x14ac:dyDescent="0.3">
      <c r="A15" s="4" t="str">
        <f>IF('AUS Calculations'!O15="","",'AUS Calculations'!O15)</f>
        <v/>
      </c>
      <c r="B15" s="5"/>
      <c r="C15" s="6" t="str">
        <f>IF(A15="","",SUMIF('AUS Calculations'!$U$2:$U$21,'Australian Portfolio'!A15,'AUS Calculations'!$W$2:$W$21))</f>
        <v/>
      </c>
      <c r="D15" s="6" t="str">
        <f>IF(A15="","",SUMIF('AUS Calculations'!$U$2:$U$21,'Australian Portfolio'!A15,'AUS Calculations'!$Y$2:$Y$21))</f>
        <v/>
      </c>
      <c r="E15" s="15" t="str" cm="1">
        <f t="array" ref="E15">IF(A15="","",_FV(B15,"Price"))</f>
        <v/>
      </c>
      <c r="F15" s="16" t="str" cm="1">
        <f t="array" ref="F15">IF(A15="","",_FV(B15,"Change"))</f>
        <v/>
      </c>
      <c r="G15" s="16" t="str">
        <f t="shared" si="0"/>
        <v/>
      </c>
      <c r="H15" s="6" t="str">
        <f>IF(A15="","",SUMIF('AUS Calculations'!$U$2:$U$21,'Australian Portfolio'!A15,'AUS Calculations'!$X$2:$X$21))</f>
        <v/>
      </c>
      <c r="I15" s="15" t="str">
        <f t="shared" si="1"/>
        <v/>
      </c>
      <c r="J15" s="15" t="str">
        <f t="shared" si="2"/>
        <v/>
      </c>
      <c r="K15" s="16" t="str">
        <f>IF(A15="","",SUMIF('AUS Calculations'!$U$2:$U$21,'Australian Portfolio'!A15,'AUS Calculations'!$V$2:$V$21))</f>
        <v/>
      </c>
      <c r="L15" s="71" t="str">
        <f>IF(A15="","",SUMIF(Dividend!$A$1:$A$289,'Australian Portfolio'!A15,Dividend!$B$1:$B$289))</f>
        <v/>
      </c>
    </row>
    <row r="16" spans="1:12" x14ac:dyDescent="0.3">
      <c r="A16" s="4"/>
      <c r="B16" s="5"/>
      <c r="C16" s="6" t="str">
        <f>IF(A16="","",SUMIF('AUS Calculations'!$U$2:$U$21,'Australian Portfolio'!A16,'AUS Calculations'!$W$2:$W$21))</f>
        <v/>
      </c>
      <c r="D16" s="6" t="str">
        <f>IF(A16="","",SUMIF('AUS Calculations'!$U$2:$U$21,'Australian Portfolio'!A16,'AUS Calculations'!$Y$2:$Y$21))</f>
        <v/>
      </c>
      <c r="E16" s="15" t="str" cm="1">
        <f t="array" ref="E16">IF(A16="","",_FV(B16,"Price"))</f>
        <v/>
      </c>
      <c r="F16" s="16" t="str" cm="1">
        <f t="array" ref="F16">IF(A16="","",_FV(B16,"Change"))</f>
        <v/>
      </c>
      <c r="G16" s="16" t="str">
        <f t="shared" si="0"/>
        <v/>
      </c>
      <c r="H16" s="6" t="str">
        <f>IF(A16="","",SUMIF('AUS Calculations'!$U$2:$U$21,'Australian Portfolio'!A16,'AUS Calculations'!$X$2:$X$21))</f>
        <v/>
      </c>
      <c r="I16" s="15" t="str">
        <f t="shared" si="1"/>
        <v/>
      </c>
      <c r="J16" s="15" t="str">
        <f t="shared" si="2"/>
        <v/>
      </c>
      <c r="K16" s="16" t="str">
        <f>IF(A16="","",SUMIF('AUS Calculations'!$U$2:$U$21,'Australian Portfolio'!A16,'AUS Calculations'!$V$2:$V$21))</f>
        <v/>
      </c>
      <c r="L16" s="71" t="str">
        <f>IF(A16="","",SUMIF(Dividend!$A$1:$A$289,'Australian Portfolio'!A16,Dividend!$B$1:$B$289))</f>
        <v/>
      </c>
    </row>
    <row r="17" spans="1:12" x14ac:dyDescent="0.3">
      <c r="A17" s="4" t="str">
        <f>IF('AUS Calculations'!O17="","",'AUS Calculations'!O17)</f>
        <v/>
      </c>
      <c r="B17" s="5"/>
      <c r="C17" s="6" t="str">
        <f>IF(A17="","",SUMIF('AUS Calculations'!$U$2:$U$21,'Australian Portfolio'!A17,'AUS Calculations'!$W$2:$W$21))</f>
        <v/>
      </c>
      <c r="D17" s="6" t="str">
        <f>IF(A17="","",SUMIF('AUS Calculations'!$U$2:$U$21,'Australian Portfolio'!A17,'AUS Calculations'!$Y$2:$Y$21))</f>
        <v/>
      </c>
      <c r="E17" s="15" t="str" cm="1">
        <f t="array" ref="E17">IF(A17="","",_FV(B17,"Price"))</f>
        <v/>
      </c>
      <c r="F17" s="16" t="str" cm="1">
        <f t="array" ref="F17">IF(A17="","",_FV(B17,"Change"))</f>
        <v/>
      </c>
      <c r="G17" s="16" t="str">
        <f t="shared" si="0"/>
        <v/>
      </c>
      <c r="H17" s="6" t="str">
        <f>IF(A17="","",SUMIF('AUS Calculations'!$U$2:$U$21,'Australian Portfolio'!A17,'AUS Calculations'!$X$2:$X$21))</f>
        <v/>
      </c>
      <c r="I17" s="15" t="str">
        <f t="shared" si="1"/>
        <v/>
      </c>
      <c r="J17" s="15" t="str">
        <f t="shared" si="2"/>
        <v/>
      </c>
      <c r="K17" s="16" t="str">
        <f>IF(A17="","",SUMIF('AUS Calculations'!$U$2:$U$21,'Australian Portfolio'!A17,'AUS Calculations'!$V$2:$V$21))</f>
        <v/>
      </c>
      <c r="L17" s="71" t="str">
        <f>IF(A17="","",SUMIF(Dividend!$A$1:$A$289,'Australian Portfolio'!A17,Dividend!$B$1:$B$289))</f>
        <v/>
      </c>
    </row>
    <row r="18" spans="1:12" x14ac:dyDescent="0.3">
      <c r="A18" s="4" t="str">
        <f>IF('AUS Calculations'!O18="","",'AUS Calculations'!O18)</f>
        <v/>
      </c>
      <c r="B18" s="5"/>
      <c r="C18" s="6" t="str">
        <f>IF(A18="","",SUMIF('AUS Calculations'!$U$2:$U$21,'Australian Portfolio'!A18,'AUS Calculations'!$W$2:$W$21))</f>
        <v/>
      </c>
      <c r="D18" s="6" t="str">
        <f>IF(A18="","",SUMIF('AUS Calculations'!$U$2:$U$21,'Australian Portfolio'!A18,'AUS Calculations'!$Y$2:$Y$21))</f>
        <v/>
      </c>
      <c r="E18" s="15" t="str" cm="1">
        <f t="array" ref="E18">IF(A18="","",_FV(B18,"Price"))</f>
        <v/>
      </c>
      <c r="F18" s="16" t="str" cm="1">
        <f t="array" ref="F18">IF(A18="","",_FV(B18,"Change"))</f>
        <v/>
      </c>
      <c r="G18" s="16" t="str">
        <f t="shared" si="0"/>
        <v/>
      </c>
      <c r="H18" s="6" t="str">
        <f>IF(A18="","",SUMIF('AUS Calculations'!$U$2:$U$21,'Australian Portfolio'!A18,'AUS Calculations'!$X$2:$X$21))</f>
        <v/>
      </c>
      <c r="I18" s="15" t="str">
        <f t="shared" si="1"/>
        <v/>
      </c>
      <c r="J18" s="15" t="str">
        <f t="shared" si="2"/>
        <v/>
      </c>
      <c r="K18" s="16" t="str">
        <f>IF(A18="","",SUMIF('AUS Calculations'!$U$2:$U$21,'Australian Portfolio'!A18,'AUS Calculations'!$V$2:$V$21))</f>
        <v/>
      </c>
      <c r="L18" s="71" t="str">
        <f>IF(A18="","",SUMIF(Dividend!$A$1:$A$289,'Australian Portfolio'!A18,Dividend!$B$1:$B$289))</f>
        <v/>
      </c>
    </row>
    <row r="19" spans="1:12" x14ac:dyDescent="0.3">
      <c r="A19" s="4" t="str">
        <f>IF('AUS Calculations'!O19="","",'AUS Calculations'!O19)</f>
        <v/>
      </c>
      <c r="B19" s="5"/>
      <c r="C19" s="6" t="str">
        <f>IF(A19="","",SUMIF('AUS Calculations'!$U$2:$U$21,'Australian Portfolio'!A19,'AUS Calculations'!$W$2:$W$21))</f>
        <v/>
      </c>
      <c r="D19" s="6" t="str">
        <f>IF(A19="","",SUMIF('AUS Calculations'!$U$2:$U$21,'Australian Portfolio'!A19,'AUS Calculations'!$Y$2:$Y$21))</f>
        <v/>
      </c>
      <c r="E19" s="15" t="str" cm="1">
        <f t="array" ref="E19">IF(A19="","",_FV(B19,"Price"))</f>
        <v/>
      </c>
      <c r="F19" s="16" t="str" cm="1">
        <f t="array" ref="F19">IF(A19="","",_FV(B19,"Change"))</f>
        <v/>
      </c>
      <c r="G19" s="16" t="str">
        <f t="shared" si="0"/>
        <v/>
      </c>
      <c r="H19" s="6" t="str">
        <f>IF(A19="","",SUMIF('AUS Calculations'!$U$2:$U$21,'Australian Portfolio'!A19,'AUS Calculations'!$X$2:$X$21))</f>
        <v/>
      </c>
      <c r="I19" s="15" t="str">
        <f t="shared" si="1"/>
        <v/>
      </c>
      <c r="J19" s="15" t="str">
        <f t="shared" si="2"/>
        <v/>
      </c>
      <c r="K19" s="16" t="str">
        <f>IF(A19="","",SUMIF('AUS Calculations'!$U$2:$U$21,'Australian Portfolio'!A19,'AUS Calculations'!$V$2:$V$21))</f>
        <v/>
      </c>
      <c r="L19" s="71" t="str">
        <f>IF(A19="","",SUMIF(Dividend!$A$1:$A$289,'Australian Portfolio'!A19,Dividend!$B$1:$B$289))</f>
        <v/>
      </c>
    </row>
    <row r="20" spans="1:12" x14ac:dyDescent="0.3">
      <c r="A20" s="4" t="str">
        <f>IF('AUS Calculations'!O20="","",'AUS Calculations'!O20)</f>
        <v/>
      </c>
      <c r="B20" s="5"/>
      <c r="C20" s="6" t="str">
        <f>IF(A20="","",SUMIF('AUS Calculations'!$U$2:$U$21,'Australian Portfolio'!A20,'AUS Calculations'!$W$2:$W$21))</f>
        <v/>
      </c>
      <c r="D20" s="6" t="str">
        <f>IF(A20="","",SUMIF('AUS Calculations'!$U$2:$U$21,'Australian Portfolio'!A20,'AUS Calculations'!$Y$2:$Y$21))</f>
        <v/>
      </c>
      <c r="E20" s="15" t="str" cm="1">
        <f t="array" ref="E20">IF(A20="","",_FV(B20,"Price"))</f>
        <v/>
      </c>
      <c r="F20" s="16" t="str" cm="1">
        <f t="array" ref="F20">IF(A20="","",_FV(B20,"Change"))</f>
        <v/>
      </c>
      <c r="G20" s="16" t="str">
        <f t="shared" si="0"/>
        <v/>
      </c>
      <c r="H20" s="6" t="str">
        <f>IF(A20="","",SUMIF('AUS Calculations'!$U$2:$U$21,'Australian Portfolio'!A20,'AUS Calculations'!$X$2:$X$21))</f>
        <v/>
      </c>
      <c r="I20" s="15" t="str">
        <f t="shared" si="1"/>
        <v/>
      </c>
      <c r="J20" s="15" t="str">
        <f t="shared" si="2"/>
        <v/>
      </c>
      <c r="K20" s="16" t="str">
        <f>IF(A20="","",SUMIF('AUS Calculations'!$U$2:$U$21,'Australian Portfolio'!A20,'AUS Calculations'!$V$2:$V$21))</f>
        <v/>
      </c>
      <c r="L20" s="71" t="str">
        <f>IF(A20="","",SUMIF(Dividend!$A$1:$A$289,'Australian Portfolio'!A20,Dividend!$B$1:$B$289))</f>
        <v/>
      </c>
    </row>
    <row r="21" spans="1:12" ht="15" thickBot="1" x14ac:dyDescent="0.35">
      <c r="A21" s="7"/>
      <c r="B21" s="8"/>
      <c r="C21" s="8" t="str">
        <f>IF(A21="","",'AUS Calculations'!Q21)</f>
        <v/>
      </c>
      <c r="D21" s="9" t="str">
        <f>IF(A21="","",'AUS Calculations'!S21)</f>
        <v/>
      </c>
      <c r="E21" s="48" t="str" cm="1">
        <f t="array" ref="E21">IF(A21="","",_FV(B21,"Price"))</f>
        <v/>
      </c>
      <c r="F21" s="49" t="str" cm="1">
        <f t="array" ref="F21">IF(A21="","",_FV(B21,"Change"))</f>
        <v/>
      </c>
      <c r="G21" s="49" t="str">
        <f t="shared" si="0"/>
        <v/>
      </c>
      <c r="H21" s="9" t="str">
        <f>IF(A21="","",'AUS Calculations'!R21)</f>
        <v/>
      </c>
      <c r="I21" s="48" t="str">
        <f t="shared" si="1"/>
        <v/>
      </c>
      <c r="J21" s="48" t="str">
        <f t="shared" si="2"/>
        <v/>
      </c>
      <c r="K21" s="49" t="str">
        <f>IF(A21="","",'AUS Calculations'!P21)</f>
        <v/>
      </c>
      <c r="L21" s="72"/>
    </row>
    <row r="22" spans="1:12" ht="15" thickBot="1" x14ac:dyDescent="0.35">
      <c r="B22" t="str">
        <f>IF('Australian Transactions'!C23 = "","",'Australian Transactions'!C23)</f>
        <v/>
      </c>
      <c r="H22" s="67" t="s">
        <v>103</v>
      </c>
      <c r="I22" s="68">
        <f>SUM(I2:I21)</f>
        <v>3112.22</v>
      </c>
    </row>
    <row r="23" spans="1:12" x14ac:dyDescent="0.3">
      <c r="B23" t="str">
        <f>IF('Australian Transactions'!C24 = "","",'Australian Transactions'!C24)</f>
        <v/>
      </c>
    </row>
    <row r="24" spans="1:12" x14ac:dyDescent="0.3">
      <c r="B24" t="str">
        <f>IF('Australian Transactions'!C25 = "","",'Australian Transactions'!C25)</f>
        <v/>
      </c>
    </row>
    <row r="28" spans="1:12" x14ac:dyDescent="0.3">
      <c r="C28" s="78"/>
      <c r="D28" s="52"/>
    </row>
  </sheetData>
  <conditionalFormatting sqref="G2:G21">
    <cfRule type="cellIs" dxfId="11" priority="5" operator="greaterThan">
      <formula>0</formula>
    </cfRule>
    <cfRule type="cellIs" dxfId="10" priority="6" operator="lessThan">
      <formula>0</formula>
    </cfRule>
  </conditionalFormatting>
  <conditionalFormatting sqref="K2:K21">
    <cfRule type="cellIs" dxfId="9" priority="3" operator="greaterThan">
      <formula>0</formula>
    </cfRule>
    <cfRule type="cellIs" dxfId="8" priority="4" operator="lessThan">
      <formula>0</formula>
    </cfRule>
  </conditionalFormatting>
  <conditionalFormatting sqref="J2:J21">
    <cfRule type="cellIs" dxfId="7" priority="1" operator="greaterThan">
      <formula>0</formula>
    </cfRule>
    <cfRule type="cellIs" dxfId="6" priority="2" operator="lessThan">
      <formula>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D934D-D8BB-45AF-A05B-71E6B81C69E4}">
  <sheetPr codeName="Sheet10"/>
  <dimension ref="A1:B13"/>
  <sheetViews>
    <sheetView workbookViewId="0">
      <selection activeCell="H13" sqref="H13"/>
    </sheetView>
  </sheetViews>
  <sheetFormatPr defaultRowHeight="14.4" x14ac:dyDescent="0.3"/>
  <sheetData>
    <row r="1" spans="1:2" x14ac:dyDescent="0.3">
      <c r="A1" t="s">
        <v>81</v>
      </c>
      <c r="B1">
        <v>15.2</v>
      </c>
    </row>
    <row r="2" spans="1:2" x14ac:dyDescent="0.3">
      <c r="A2" t="s">
        <v>82</v>
      </c>
      <c r="B2">
        <v>6.89</v>
      </c>
    </row>
    <row r="3" spans="1:2" x14ac:dyDescent="0.3">
      <c r="A3" t="s">
        <v>35</v>
      </c>
      <c r="B3">
        <v>0.42</v>
      </c>
    </row>
    <row r="4" spans="1:2" x14ac:dyDescent="0.3">
      <c r="A4" t="s">
        <v>1</v>
      </c>
      <c r="B4">
        <v>0.24</v>
      </c>
    </row>
    <row r="5" spans="1:2" x14ac:dyDescent="0.3">
      <c r="A5" t="s">
        <v>42</v>
      </c>
      <c r="B5">
        <v>0.26</v>
      </c>
    </row>
    <row r="6" spans="1:2" x14ac:dyDescent="0.3">
      <c r="A6" t="s">
        <v>63</v>
      </c>
      <c r="B6">
        <v>0.11</v>
      </c>
    </row>
    <row r="7" spans="1:2" x14ac:dyDescent="0.3">
      <c r="A7" t="s">
        <v>60</v>
      </c>
      <c r="B7">
        <v>0.12</v>
      </c>
    </row>
    <row r="8" spans="1:2" x14ac:dyDescent="0.3">
      <c r="A8" t="s">
        <v>12</v>
      </c>
      <c r="B8">
        <v>1.3</v>
      </c>
    </row>
    <row r="9" spans="1:2" x14ac:dyDescent="0.3">
      <c r="A9" t="s">
        <v>51</v>
      </c>
      <c r="B9">
        <v>2.31</v>
      </c>
    </row>
    <row r="10" spans="1:2" x14ac:dyDescent="0.3">
      <c r="A10" t="s">
        <v>60</v>
      </c>
      <c r="B10">
        <v>0.04</v>
      </c>
    </row>
    <row r="11" spans="1:2" x14ac:dyDescent="0.3">
      <c r="A11" t="s">
        <v>1</v>
      </c>
      <c r="B11">
        <v>0.38</v>
      </c>
    </row>
    <row r="12" spans="1:2" x14ac:dyDescent="0.3">
      <c r="A12" t="s">
        <v>60</v>
      </c>
      <c r="B12">
        <v>0.03</v>
      </c>
    </row>
    <row r="13" spans="1:2" x14ac:dyDescent="0.3">
      <c r="A13" t="s">
        <v>42</v>
      </c>
      <c r="B13">
        <v>0.47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3B54-56C0-4E12-A709-FB8013CFFC8D}">
  <sheetPr codeName="Sheet15"/>
  <dimension ref="A1:AC50"/>
  <sheetViews>
    <sheetView topLeftCell="K1" workbookViewId="0">
      <selection activeCell="O19" sqref="O19"/>
    </sheetView>
  </sheetViews>
  <sheetFormatPr defaultRowHeight="14.4" x14ac:dyDescent="0.3"/>
  <cols>
    <col min="2" max="2" width="42.109375" bestFit="1" customWidth="1"/>
    <col min="4" max="4" width="13.5546875" bestFit="1" customWidth="1"/>
    <col min="6" max="6" width="11.88671875" bestFit="1" customWidth="1"/>
    <col min="7" max="7" width="14.77734375" bestFit="1" customWidth="1"/>
    <col min="8" max="8" width="9.33203125" bestFit="1" customWidth="1"/>
    <col min="9" max="9" width="12.33203125" bestFit="1" customWidth="1"/>
    <col min="10" max="10" width="13.33203125" bestFit="1" customWidth="1"/>
    <col min="11" max="11" width="11.21875" bestFit="1" customWidth="1"/>
    <col min="15" max="15" width="42.109375" bestFit="1" customWidth="1"/>
    <col min="17" max="17" width="13.5546875" bestFit="1" customWidth="1"/>
    <col min="19" max="19" width="11.88671875" bestFit="1" customWidth="1"/>
    <col min="20" max="20" width="14.77734375" bestFit="1" customWidth="1"/>
    <col min="21" max="21" width="9.33203125" bestFit="1" customWidth="1"/>
    <col min="22" max="22" width="12.33203125" bestFit="1" customWidth="1"/>
    <col min="23" max="23" width="13.33203125" bestFit="1" customWidth="1"/>
    <col min="24" max="24" width="11.21875" bestFit="1" customWidth="1"/>
    <col min="26" max="26" width="13.88671875" bestFit="1" customWidth="1"/>
    <col min="29" max="29" width="37.5546875" bestFit="1" customWidth="1"/>
  </cols>
  <sheetData>
    <row r="1" spans="1:29" ht="15" thickBot="1" x14ac:dyDescent="0.35">
      <c r="A1" s="10" t="s">
        <v>71</v>
      </c>
      <c r="B1" s="11" t="s">
        <v>100</v>
      </c>
      <c r="C1" s="11" t="s">
        <v>69</v>
      </c>
      <c r="D1" s="11" t="s">
        <v>95</v>
      </c>
      <c r="E1" s="11" t="s">
        <v>76</v>
      </c>
      <c r="F1" s="11" t="s">
        <v>77</v>
      </c>
      <c r="G1" s="11" t="s">
        <v>78</v>
      </c>
      <c r="H1" s="11" t="s">
        <v>73</v>
      </c>
      <c r="I1" s="11" t="s">
        <v>79</v>
      </c>
      <c r="J1" s="65" t="s">
        <v>80</v>
      </c>
      <c r="K1" s="65" t="s">
        <v>87</v>
      </c>
      <c r="L1" s="66" t="s">
        <v>125</v>
      </c>
      <c r="M1">
        <v>1.42</v>
      </c>
      <c r="N1" s="10" t="s">
        <v>71</v>
      </c>
      <c r="O1" s="11" t="s">
        <v>100</v>
      </c>
      <c r="P1" s="11" t="s">
        <v>69</v>
      </c>
      <c r="Q1" s="11" t="s">
        <v>95</v>
      </c>
      <c r="R1" s="11" t="s">
        <v>76</v>
      </c>
      <c r="S1" s="11" t="s">
        <v>77</v>
      </c>
      <c r="T1" s="11" t="s">
        <v>78</v>
      </c>
      <c r="U1" s="11" t="s">
        <v>73</v>
      </c>
      <c r="V1" s="11" t="s">
        <v>79</v>
      </c>
      <c r="W1" s="65" t="s">
        <v>80</v>
      </c>
      <c r="X1" s="65" t="s">
        <v>87</v>
      </c>
      <c r="Y1" s="66" t="s">
        <v>125</v>
      </c>
      <c r="Z1" s="82" t="s">
        <v>127</v>
      </c>
      <c r="AA1" s="82" t="s">
        <v>129</v>
      </c>
      <c r="AB1" s="82" t="s">
        <v>132</v>
      </c>
      <c r="AC1" s="82" t="s">
        <v>133</v>
      </c>
    </row>
    <row r="2" spans="1:29" x14ac:dyDescent="0.3">
      <c r="A2" t="str" cm="1">
        <f t="array" ref="A2:A5">_xlfn.UNIQUE('Australian Portfolio'!A2:A21,FALSE,TRUE)</f>
        <v>WBC</v>
      </c>
      <c r="B2" t="e" vm="1">
        <f>'Australian Portfolio'!B2</f>
        <v>#VALUE!</v>
      </c>
      <c r="C2">
        <f>'Australian Portfolio'!C2</f>
        <v>19</v>
      </c>
      <c r="D2">
        <f>'Australian Portfolio'!D2</f>
        <v>30.346315789473685</v>
      </c>
      <c r="E2">
        <f>'Australian Portfolio'!E2</f>
        <v>18.12</v>
      </c>
      <c r="F2">
        <f>'Australian Portfolio'!F2</f>
        <v>0.44</v>
      </c>
      <c r="G2">
        <f>'Australian Portfolio'!G2</f>
        <v>8.36</v>
      </c>
      <c r="H2">
        <f>'Australian Portfolio'!H2</f>
        <v>576.58000000000004</v>
      </c>
      <c r="I2">
        <f>'Australian Portfolio'!I2</f>
        <v>344.28000000000003</v>
      </c>
      <c r="J2">
        <f>IFERROR(I2-H2,"")</f>
        <v>-232.3</v>
      </c>
      <c r="K2">
        <f>'Australian Portfolio'!K2</f>
        <v>0</v>
      </c>
      <c r="L2">
        <f>'Australian Portfolio'!L2</f>
        <v>15.2</v>
      </c>
      <c r="N2" t="str" cm="1">
        <f t="array" ref="N2:N13">_xlfn.UNIQUE(A2:A46,FALSE,TRUE)</f>
        <v>WBC</v>
      </c>
      <c r="O2" t="s">
        <v>81</v>
      </c>
      <c r="P2">
        <f>IF($N2="","",SUMIF($A$2:$A$42,$N2,C$2:C$42))</f>
        <v>19</v>
      </c>
      <c r="Q2">
        <f>IF($N2="","",SUMIF($A$2:$A$42,$N2,D$2:D$42))</f>
        <v>30.346315789473685</v>
      </c>
      <c r="R2">
        <f>IF($N2="","",SUMIF($A$2:$A$42,$N2,E$2:E$42))</f>
        <v>18.12</v>
      </c>
      <c r="S2">
        <f t="shared" ref="S2:Y2" si="0">IF($N2="","",SUMIF($A$2:$A$42,$N2,F$2:F$42))</f>
        <v>0.44</v>
      </c>
      <c r="T2">
        <f t="shared" si="0"/>
        <v>8.36</v>
      </c>
      <c r="U2">
        <f t="shared" ref="U2" si="1">IF($N2="","",SUMIF($A$2:$A$42,$N2,H$2:H$42))</f>
        <v>576.58000000000004</v>
      </c>
      <c r="V2">
        <f t="shared" ref="V2" si="2">IF($N2="","",SUMIF($A$2:$A$42,$N2,I$2:I$42))</f>
        <v>344.28000000000003</v>
      </c>
      <c r="W2">
        <f t="shared" ref="W2" si="3">IF($N2="","",SUMIF($A$2:$A$42,$N2,J$2:J$42))</f>
        <v>-232.3</v>
      </c>
      <c r="X2">
        <f t="shared" si="0"/>
        <v>0</v>
      </c>
      <c r="Y2">
        <f t="shared" si="0"/>
        <v>15.2</v>
      </c>
      <c r="Z2" s="52">
        <f>(V2+X2+Y2-U2)/U2</f>
        <v>-0.37653057684969998</v>
      </c>
      <c r="AA2">
        <f>V2/SUM($V$2:$V$14)</f>
        <v>7.0551877582408024E-2</v>
      </c>
      <c r="AB2" s="78" t="e" cm="1" vm="5">
        <f t="array" ref="AB2">_FV(O2,"Beta")</f>
        <v>#VALUE!</v>
      </c>
      <c r="AC2" t="e" cm="1" vm="6">
        <f t="array" ref="AC2">_FV(O2,"Industry")</f>
        <v>#VALUE!</v>
      </c>
    </row>
    <row r="3" spans="1:29" x14ac:dyDescent="0.3">
      <c r="A3" t="str">
        <v>IOZ</v>
      </c>
      <c r="B3" t="e" vm="2">
        <f>'Australian Portfolio'!B3</f>
        <v>#VALUE!</v>
      </c>
      <c r="C3">
        <f>'Australian Portfolio'!C3</f>
        <v>36</v>
      </c>
      <c r="D3">
        <f>'Australian Portfolio'!D3</f>
        <v>21.157777777777778</v>
      </c>
      <c r="E3">
        <f>'Australian Portfolio'!E3</f>
        <v>25.14</v>
      </c>
      <c r="F3">
        <f>'Australian Portfolio'!F3</f>
        <v>0.63</v>
      </c>
      <c r="G3">
        <f>'Australian Portfolio'!G3</f>
        <v>22.68</v>
      </c>
      <c r="H3">
        <f>'Australian Portfolio'!H3</f>
        <v>761.68</v>
      </c>
      <c r="I3">
        <f>'Australian Portfolio'!I3</f>
        <v>905.04</v>
      </c>
      <c r="J3">
        <f t="shared" ref="J3:J30" si="4">IFERROR(I3-H3,"")</f>
        <v>143.36000000000001</v>
      </c>
      <c r="K3">
        <f>'Australian Portfolio'!K3</f>
        <v>0</v>
      </c>
      <c r="L3">
        <f>'Australian Portfolio'!L3</f>
        <v>6.89</v>
      </c>
      <c r="N3" t="str">
        <v>IOZ</v>
      </c>
      <c r="O3" t="s">
        <v>82</v>
      </c>
      <c r="P3">
        <f t="shared" ref="P3:P21" si="5">IF($N3="","",SUMIF($A$2:$A$42,$N3,C$2:C$42))</f>
        <v>36</v>
      </c>
      <c r="Q3">
        <f t="shared" ref="Q3:Q22" si="6">IF($N3="","",SUMIF($A$2:$A$42,$N3,D$2:D$42))</f>
        <v>21.157777777777778</v>
      </c>
      <c r="R3">
        <f t="shared" ref="R3:R25" si="7">IF($N3="","",SUMIF($A$2:$A$42,$N3,E$2:E$42))</f>
        <v>25.14</v>
      </c>
      <c r="S3">
        <f t="shared" ref="S3:S25" si="8">IF($N3="","",SUMIF($A$2:$A$42,$N3,F$2:F$42))</f>
        <v>0.63</v>
      </c>
      <c r="T3">
        <f t="shared" ref="T3:T14" si="9">IF($N3="","",SUMIF($A$2:$A$42,$N3,G$2:G$42))</f>
        <v>22.68</v>
      </c>
      <c r="U3">
        <f t="shared" ref="U3:U14" si="10">IF($N3="","",SUMIF($A$2:$A$42,$N3,H$2:H$42))</f>
        <v>761.68</v>
      </c>
      <c r="V3">
        <f t="shared" ref="V3:V14" si="11">IF($N3="","",SUMIF($A$2:$A$42,$N3,I$2:I$42))</f>
        <v>905.04</v>
      </c>
      <c r="W3">
        <f t="shared" ref="W3:W14" si="12">IF($N3="","",SUMIF($A$2:$A$42,$N3,J$2:J$42))</f>
        <v>143.36000000000001</v>
      </c>
      <c r="X3">
        <f t="shared" ref="X3:X25" si="13">IF($N3="","",SUMIF($A$2:$A$42,$N3,K$2:K$42))</f>
        <v>0</v>
      </c>
      <c r="Y3">
        <f t="shared" ref="Y3:Y25" si="14">IF($N3="","",SUMIF($A$2:$A$42,$N3,L$2:L$42))</f>
        <v>6.89</v>
      </c>
      <c r="Z3" s="52">
        <f t="shared" ref="Z3:Z14" si="15">(V3+X3+Y3-U3)/U3</f>
        <v>0.19726131708854114</v>
      </c>
      <c r="AA3">
        <f t="shared" ref="AA3:AA14" si="16">V3/SUM($V$2:$V$14)</f>
        <v>0.18546610691060345</v>
      </c>
      <c r="AB3" s="78" t="e" cm="1" vm="5">
        <f t="array" ref="AB3">_FV(O3,"Beta")</f>
        <v>#VALUE!</v>
      </c>
      <c r="AC3" t="s">
        <v>130</v>
      </c>
    </row>
    <row r="4" spans="1:29" x14ac:dyDescent="0.3">
      <c r="A4" t="str">
        <v>CBA</v>
      </c>
      <c r="B4" t="e" vm="3">
        <f>'Australian Portfolio'!B4</f>
        <v>#VALUE!</v>
      </c>
      <c r="C4">
        <f>'Australian Portfolio'!C4</f>
        <v>10</v>
      </c>
      <c r="D4">
        <f>'Australian Portfolio'!D4</f>
        <v>60.7</v>
      </c>
      <c r="E4">
        <f>'Australian Portfolio'!E4</f>
        <v>74.430000000000007</v>
      </c>
      <c r="F4">
        <f>'Australian Portfolio'!F4</f>
        <v>2.44</v>
      </c>
      <c r="G4">
        <f>'Australian Portfolio'!G4</f>
        <v>24.4</v>
      </c>
      <c r="H4">
        <f>'Australian Portfolio'!H4</f>
        <v>607</v>
      </c>
      <c r="I4">
        <f>'Australian Portfolio'!I4</f>
        <v>744.30000000000007</v>
      </c>
      <c r="J4">
        <f t="shared" si="4"/>
        <v>137.30000000000007</v>
      </c>
      <c r="K4">
        <f>'Australian Portfolio'!K4</f>
        <v>0</v>
      </c>
      <c r="L4">
        <f>'Australian Portfolio'!L4</f>
        <v>0</v>
      </c>
      <c r="N4" t="str">
        <v>CBA</v>
      </c>
      <c r="O4" t="s">
        <v>94</v>
      </c>
      <c r="P4">
        <f t="shared" si="5"/>
        <v>10</v>
      </c>
      <c r="Q4">
        <f t="shared" si="6"/>
        <v>60.7</v>
      </c>
      <c r="R4">
        <f t="shared" si="7"/>
        <v>74.430000000000007</v>
      </c>
      <c r="S4">
        <f t="shared" si="8"/>
        <v>2.44</v>
      </c>
      <c r="T4">
        <f t="shared" si="9"/>
        <v>24.4</v>
      </c>
      <c r="U4">
        <f t="shared" si="10"/>
        <v>607</v>
      </c>
      <c r="V4">
        <f t="shared" si="11"/>
        <v>744.30000000000007</v>
      </c>
      <c r="W4">
        <f t="shared" si="12"/>
        <v>137.30000000000007</v>
      </c>
      <c r="X4">
        <f t="shared" si="13"/>
        <v>0</v>
      </c>
      <c r="Y4">
        <f t="shared" si="14"/>
        <v>0</v>
      </c>
      <c r="Z4" s="52">
        <f t="shared" si="15"/>
        <v>0.22619439868204294</v>
      </c>
      <c r="AA4">
        <f t="shared" si="16"/>
        <v>0.15252632300623414</v>
      </c>
      <c r="AB4" s="78" t="e" cm="1" vm="5">
        <f t="array" ref="AB4">_FV(O4,"Beta")</f>
        <v>#VALUE!</v>
      </c>
      <c r="AC4" t="e" cm="1" vm="6">
        <f t="array" ref="AC4">_FV(O4,"Industry")</f>
        <v>#VALUE!</v>
      </c>
    </row>
    <row r="5" spans="1:29" x14ac:dyDescent="0.3">
      <c r="A5" t="str">
        <v>TLS</v>
      </c>
      <c r="B5" t="e" vm="4">
        <f>'Australian Portfolio'!B5</f>
        <v>#VALUE!</v>
      </c>
      <c r="C5">
        <f>'Australian Portfolio'!C5</f>
        <v>329</v>
      </c>
      <c r="D5">
        <f>'Australian Portfolio'!D5</f>
        <v>3.08</v>
      </c>
      <c r="E5">
        <f>'Australian Portfolio'!E5</f>
        <v>3.4</v>
      </c>
      <c r="F5">
        <f>'Australian Portfolio'!F5</f>
        <v>0</v>
      </c>
      <c r="G5">
        <f>'Australian Portfolio'!G5</f>
        <v>0</v>
      </c>
      <c r="H5">
        <f>'Australian Portfolio'!H5</f>
        <v>1013.32</v>
      </c>
      <c r="I5">
        <f>'Australian Portfolio'!I5</f>
        <v>1118.5999999999999</v>
      </c>
      <c r="J5">
        <f t="shared" si="4"/>
        <v>105.27999999999986</v>
      </c>
      <c r="K5">
        <f>'Australian Portfolio'!K5</f>
        <v>0</v>
      </c>
      <c r="L5">
        <f>'Australian Portfolio'!L5</f>
        <v>0</v>
      </c>
      <c r="N5" t="str">
        <v>TLS</v>
      </c>
      <c r="O5" t="s">
        <v>124</v>
      </c>
      <c r="P5">
        <f t="shared" si="5"/>
        <v>329</v>
      </c>
      <c r="Q5">
        <f t="shared" si="6"/>
        <v>3.08</v>
      </c>
      <c r="R5">
        <f t="shared" si="7"/>
        <v>3.4</v>
      </c>
      <c r="S5">
        <f t="shared" si="8"/>
        <v>0</v>
      </c>
      <c r="T5">
        <f t="shared" si="9"/>
        <v>0</v>
      </c>
      <c r="U5">
        <f t="shared" si="10"/>
        <v>1013.32</v>
      </c>
      <c r="V5">
        <f t="shared" si="11"/>
        <v>1118.5999999999999</v>
      </c>
      <c r="W5">
        <f t="shared" si="12"/>
        <v>105.27999999999986</v>
      </c>
      <c r="X5">
        <f t="shared" si="13"/>
        <v>0</v>
      </c>
      <c r="Y5">
        <f t="shared" si="14"/>
        <v>0</v>
      </c>
      <c r="Z5" s="52">
        <f t="shared" si="15"/>
        <v>0.10389610389610375</v>
      </c>
      <c r="AA5">
        <f t="shared" si="16"/>
        <v>0.22923007512397353</v>
      </c>
      <c r="AB5" s="78" t="e" cm="1" vm="5">
        <f t="array" ref="AB5">_FV(O5,"Beta")</f>
        <v>#VALUE!</v>
      </c>
      <c r="AC5" t="e" cm="1" vm="6">
        <f t="array" ref="AC5">_FV(O5,"Industry")</f>
        <v>#VALUE!</v>
      </c>
    </row>
    <row r="6" spans="1:29" x14ac:dyDescent="0.3">
      <c r="C6" t="str">
        <f>'Australian Portfolio'!C6</f>
        <v/>
      </c>
      <c r="D6" t="str">
        <f>'Australian Portfolio'!D6</f>
        <v/>
      </c>
      <c r="E6" t="str">
        <f>'Australian Portfolio'!E6</f>
        <v/>
      </c>
      <c r="F6" t="str">
        <f>'Australian Portfolio'!F6</f>
        <v/>
      </c>
      <c r="G6" t="str">
        <f>'Australian Portfolio'!G6</f>
        <v/>
      </c>
      <c r="H6" t="str">
        <f>'Australian Portfolio'!H6</f>
        <v/>
      </c>
      <c r="I6" t="str">
        <f>'Australian Portfolio'!I6</f>
        <v/>
      </c>
      <c r="J6" t="str">
        <f t="shared" si="4"/>
        <v/>
      </c>
      <c r="K6" t="str">
        <f>'Australian Portfolio'!K6</f>
        <v/>
      </c>
      <c r="L6" t="str">
        <f>'Australian Portfolio'!L6</f>
        <v/>
      </c>
      <c r="N6" t="str">
        <v>AAPL</v>
      </c>
      <c r="O6" t="s">
        <v>1</v>
      </c>
      <c r="P6">
        <f t="shared" si="5"/>
        <v>0.58768887000000003</v>
      </c>
      <c r="Q6">
        <f t="shared" si="6"/>
        <v>284.1639658753449</v>
      </c>
      <c r="R6">
        <f t="shared" si="7"/>
        <v>393.43</v>
      </c>
      <c r="S6">
        <f t="shared" si="8"/>
        <v>8.1199999999999992</v>
      </c>
      <c r="T6">
        <f t="shared" si="9"/>
        <v>4.7720336243999997</v>
      </c>
      <c r="U6">
        <f t="shared" si="10"/>
        <v>237.14</v>
      </c>
      <c r="V6">
        <f t="shared" si="11"/>
        <v>328.32449361622201</v>
      </c>
      <c r="W6">
        <f t="shared" si="12"/>
        <v>91.184493616222028</v>
      </c>
      <c r="X6">
        <f t="shared" si="13"/>
        <v>0</v>
      </c>
      <c r="Y6">
        <f t="shared" si="14"/>
        <v>0.62</v>
      </c>
      <c r="Z6" s="52">
        <f t="shared" si="15"/>
        <v>0.38713204696053821</v>
      </c>
      <c r="AA6">
        <f t="shared" si="16"/>
        <v>6.7282181599040897E-2</v>
      </c>
      <c r="AB6" s="78" t="e" cm="1" vm="5">
        <f t="array" ref="AB6">_FV(O6,"Beta")</f>
        <v>#VALUE!</v>
      </c>
      <c r="AC6" t="e" cm="1" vm="6">
        <f t="array" ref="AC6">_FV(O6,"Industry")</f>
        <v>#VALUE!</v>
      </c>
    </row>
    <row r="7" spans="1:29" x14ac:dyDescent="0.3">
      <c r="C7" t="str">
        <f>'Australian Portfolio'!C7</f>
        <v/>
      </c>
      <c r="D7" t="str">
        <f>'Australian Portfolio'!D7</f>
        <v/>
      </c>
      <c r="E7" t="str">
        <f>'Australian Portfolio'!E7</f>
        <v/>
      </c>
      <c r="F7" t="str">
        <f>'Australian Portfolio'!F7</f>
        <v/>
      </c>
      <c r="G7" t="str">
        <f>'Australian Portfolio'!G7</f>
        <v/>
      </c>
      <c r="H7" t="str">
        <f>'Australian Portfolio'!H7</f>
        <v/>
      </c>
      <c r="I7" t="str">
        <f>'Australian Portfolio'!I7</f>
        <v/>
      </c>
      <c r="J7" t="str">
        <f t="shared" si="4"/>
        <v/>
      </c>
      <c r="K7" t="str">
        <f>'Australian Portfolio'!K7</f>
        <v/>
      </c>
      <c r="L7" t="str">
        <f>'Australian Portfolio'!L7</f>
        <v/>
      </c>
      <c r="N7" t="str">
        <v>AMZN</v>
      </c>
      <c r="O7" t="s">
        <v>5</v>
      </c>
      <c r="P7">
        <f t="shared" si="5"/>
        <v>7.9299999999999995E-2</v>
      </c>
      <c r="Q7">
        <f t="shared" si="6"/>
        <v>1826.718789407314</v>
      </c>
      <c r="R7">
        <f t="shared" si="7"/>
        <v>3196.84</v>
      </c>
      <c r="S7">
        <f t="shared" si="8"/>
        <v>234.87</v>
      </c>
      <c r="T7">
        <f t="shared" si="9"/>
        <v>18.625191000000001</v>
      </c>
      <c r="U7">
        <f t="shared" si="10"/>
        <v>205.69949599999998</v>
      </c>
      <c r="V7">
        <f t="shared" si="11"/>
        <v>359.98336503999997</v>
      </c>
      <c r="W7">
        <f t="shared" si="12"/>
        <v>154.28386903999998</v>
      </c>
      <c r="X7">
        <f t="shared" si="13"/>
        <v>0</v>
      </c>
      <c r="Y7">
        <f t="shared" si="14"/>
        <v>0</v>
      </c>
      <c r="Z7" s="52">
        <f t="shared" si="15"/>
        <v>0.75004495412084038</v>
      </c>
      <c r="AA7">
        <f t="shared" si="16"/>
        <v>7.3769903282227767E-2</v>
      </c>
      <c r="AB7" s="78" t="e" cm="1" vm="5">
        <f t="array" ref="AB7">_FV(O7,"Beta")</f>
        <v>#VALUE!</v>
      </c>
      <c r="AC7" t="e" cm="1" vm="6">
        <f t="array" ref="AC7">_FV(O7,"Industry")</f>
        <v>#VALUE!</v>
      </c>
    </row>
    <row r="8" spans="1:29" x14ac:dyDescent="0.3">
      <c r="C8" t="str">
        <f>'Australian Portfolio'!C8</f>
        <v/>
      </c>
      <c r="D8" t="str">
        <f>'Australian Portfolio'!D8</f>
        <v/>
      </c>
      <c r="E8" t="str">
        <f>'Australian Portfolio'!E8</f>
        <v/>
      </c>
      <c r="F8" t="str">
        <f>'Australian Portfolio'!F8</f>
        <v/>
      </c>
      <c r="G8" t="str">
        <f>'Australian Portfolio'!G8</f>
        <v/>
      </c>
      <c r="H8" t="str">
        <f>'Australian Portfolio'!H8</f>
        <v/>
      </c>
      <c r="I8" t="str">
        <f>'Australian Portfolio'!I8</f>
        <v/>
      </c>
      <c r="J8" t="str">
        <f t="shared" si="4"/>
        <v/>
      </c>
      <c r="K8" t="str">
        <f>'Australian Portfolio'!K8</f>
        <v/>
      </c>
      <c r="L8" t="str">
        <f>'Australian Portfolio'!L8</f>
        <v/>
      </c>
      <c r="N8" t="str">
        <v>BABA</v>
      </c>
      <c r="O8" t="s">
        <v>10</v>
      </c>
      <c r="P8">
        <f t="shared" si="5"/>
        <v>0.22550000000000001</v>
      </c>
      <c r="Q8">
        <f t="shared" si="6"/>
        <v>210.64301552106429</v>
      </c>
      <c r="R8">
        <f t="shared" si="7"/>
        <v>254.81</v>
      </c>
      <c r="S8">
        <f t="shared" si="8"/>
        <v>7.67</v>
      </c>
      <c r="T8">
        <f t="shared" si="9"/>
        <v>1.7295849999999999</v>
      </c>
      <c r="U8">
        <f t="shared" si="10"/>
        <v>67.45</v>
      </c>
      <c r="V8">
        <f t="shared" si="11"/>
        <v>81.592710100000005</v>
      </c>
      <c r="W8">
        <f t="shared" si="12"/>
        <v>14.142710100000002</v>
      </c>
      <c r="X8">
        <f t="shared" si="13"/>
        <v>0</v>
      </c>
      <c r="Y8">
        <f t="shared" si="14"/>
        <v>0</v>
      </c>
      <c r="Z8" s="52">
        <f t="shared" si="15"/>
        <v>0.20967694736842107</v>
      </c>
      <c r="AA8">
        <f t="shared" si="16"/>
        <v>1.6720456879842298E-2</v>
      </c>
      <c r="AB8" s="78" t="e" cm="1" vm="5">
        <f t="array" ref="AB8">_FV(O8,"Beta")</f>
        <v>#VALUE!</v>
      </c>
      <c r="AC8" t="e" cm="1" vm="6">
        <f t="array" ref="AC8">_FV(O8,"Industry")</f>
        <v>#VALUE!</v>
      </c>
    </row>
    <row r="9" spans="1:29" x14ac:dyDescent="0.3">
      <c r="C9" t="str">
        <f>'Australian Portfolio'!C9</f>
        <v/>
      </c>
      <c r="D9" t="str">
        <f>'Australian Portfolio'!D9</f>
        <v/>
      </c>
      <c r="E9" t="str">
        <f>'Australian Portfolio'!E9</f>
        <v/>
      </c>
      <c r="F9" t="str">
        <f>'Australian Portfolio'!F9</f>
        <v/>
      </c>
      <c r="G9" t="str">
        <f>'Australian Portfolio'!G9</f>
        <v/>
      </c>
      <c r="H9" t="str">
        <f>'Australian Portfolio'!H9</f>
        <v/>
      </c>
      <c r="I9" t="str">
        <f>'Australian Portfolio'!I9</f>
        <v/>
      </c>
      <c r="J9" t="str">
        <f t="shared" si="4"/>
        <v/>
      </c>
      <c r="K9" t="str">
        <f>'Australian Portfolio'!K9</f>
        <v/>
      </c>
      <c r="L9" t="str">
        <f>'Australian Portfolio'!L9</f>
        <v/>
      </c>
      <c r="N9" t="str">
        <v>BHP</v>
      </c>
      <c r="O9" t="s">
        <v>12</v>
      </c>
      <c r="P9">
        <f t="shared" si="5"/>
        <v>1</v>
      </c>
      <c r="Q9">
        <f t="shared" si="6"/>
        <v>51.6357</v>
      </c>
      <c r="R9">
        <f t="shared" si="7"/>
        <v>53.59</v>
      </c>
      <c r="S9">
        <f t="shared" si="8"/>
        <v>-0.25</v>
      </c>
      <c r="T9">
        <f t="shared" si="9"/>
        <v>-0.25</v>
      </c>
      <c r="U9">
        <f t="shared" si="10"/>
        <v>73.322693999999998</v>
      </c>
      <c r="V9">
        <f t="shared" si="11"/>
        <v>76.097800000000007</v>
      </c>
      <c r="W9">
        <f t="shared" si="12"/>
        <v>2.7751060000000081</v>
      </c>
      <c r="X9">
        <f t="shared" si="13"/>
        <v>0</v>
      </c>
      <c r="Y9">
        <f t="shared" si="14"/>
        <v>1.3</v>
      </c>
      <c r="Z9" s="52">
        <f t="shared" si="15"/>
        <v>5.5577690585127779E-2</v>
      </c>
      <c r="AA9">
        <f t="shared" si="16"/>
        <v>1.5594407662049987E-2</v>
      </c>
      <c r="AB9" s="78" t="e" cm="1" vm="5">
        <f t="array" ref="AB9">_FV(O9,"Beta")</f>
        <v>#VALUE!</v>
      </c>
      <c r="AC9" t="e" cm="1" vm="6">
        <f t="array" ref="AC9">_FV(O9,"Industry")</f>
        <v>#VALUE!</v>
      </c>
    </row>
    <row r="10" spans="1:29" x14ac:dyDescent="0.3">
      <c r="C10" t="str">
        <f>'Australian Portfolio'!C10</f>
        <v/>
      </c>
      <c r="D10" t="str">
        <f>'Australian Portfolio'!D10</f>
        <v/>
      </c>
      <c r="E10" t="str">
        <f>'Australian Portfolio'!E10</f>
        <v/>
      </c>
      <c r="F10" t="str">
        <f>'Australian Portfolio'!F10</f>
        <v/>
      </c>
      <c r="G10" t="str">
        <f>'Australian Portfolio'!G10</f>
        <v/>
      </c>
      <c r="H10" t="str">
        <f>'Australian Portfolio'!H10</f>
        <v/>
      </c>
      <c r="I10" t="str">
        <f>'Australian Portfolio'!I10</f>
        <v/>
      </c>
      <c r="J10" t="str">
        <f t="shared" si="4"/>
        <v/>
      </c>
      <c r="K10" t="str">
        <f>'Australian Portfolio'!K10</f>
        <v/>
      </c>
      <c r="L10" t="str">
        <f>'Australian Portfolio'!L10</f>
        <v/>
      </c>
      <c r="N10" t="str">
        <v>GOOGL</v>
      </c>
      <c r="O10" t="s">
        <v>24</v>
      </c>
      <c r="P10">
        <f t="shared" si="5"/>
        <v>0.14734715999999998</v>
      </c>
      <c r="Q10">
        <f t="shared" si="6"/>
        <v>1316.0755863906711</v>
      </c>
      <c r="R10">
        <f t="shared" si="7"/>
        <v>1563.84</v>
      </c>
      <c r="S10">
        <f t="shared" si="8"/>
        <v>46.99</v>
      </c>
      <c r="T10">
        <f t="shared" si="9"/>
        <v>6.9238430483999993</v>
      </c>
      <c r="U10">
        <f t="shared" si="10"/>
        <v>275.3664</v>
      </c>
      <c r="V10">
        <f t="shared" si="11"/>
        <v>327.20688342604791</v>
      </c>
      <c r="W10">
        <f t="shared" si="12"/>
        <v>51.840483426047911</v>
      </c>
      <c r="X10">
        <f t="shared" si="13"/>
        <v>0</v>
      </c>
      <c r="Y10">
        <f t="shared" si="14"/>
        <v>0</v>
      </c>
      <c r="Z10" s="52">
        <f t="shared" si="15"/>
        <v>0.18826001801980166</v>
      </c>
      <c r="AA10">
        <f t="shared" si="16"/>
        <v>6.7053154361553916E-2</v>
      </c>
      <c r="AB10" s="78" t="e" cm="1" vm="5">
        <f t="array" ref="AB10">_FV(O10,"Beta")</f>
        <v>#VALUE!</v>
      </c>
      <c r="AC10" t="e" cm="1" vm="6">
        <f t="array" ref="AC10">_FV(O10,"Industry")</f>
        <v>#VALUE!</v>
      </c>
    </row>
    <row r="11" spans="1:29" x14ac:dyDescent="0.3">
      <c r="C11" t="str">
        <f>'Australian Portfolio'!C11</f>
        <v/>
      </c>
      <c r="D11" t="str">
        <f>'Australian Portfolio'!D11</f>
        <v/>
      </c>
      <c r="E11" t="str">
        <f>'Australian Portfolio'!E11</f>
        <v/>
      </c>
      <c r="F11" t="str">
        <f>'Australian Portfolio'!F11</f>
        <v/>
      </c>
      <c r="G11" t="str">
        <f>'Australian Portfolio'!G11</f>
        <v/>
      </c>
      <c r="H11" t="str">
        <f>'Australian Portfolio'!H11</f>
        <v/>
      </c>
      <c r="I11" t="str">
        <f>'Australian Portfolio'!I11</f>
        <v/>
      </c>
      <c r="J11" t="str">
        <f t="shared" si="4"/>
        <v/>
      </c>
      <c r="K11" t="str">
        <f>'Australian Portfolio'!K11</f>
        <v/>
      </c>
      <c r="L11" t="str">
        <f>'Australian Portfolio'!L11</f>
        <v/>
      </c>
      <c r="N11" t="str">
        <v>MSFT</v>
      </c>
      <c r="O11" t="s">
        <v>42</v>
      </c>
      <c r="P11">
        <f t="shared" si="5"/>
        <v>1.0729766199999999</v>
      </c>
      <c r="Q11">
        <f t="shared" si="6"/>
        <v>158.21407180335393</v>
      </c>
      <c r="R11">
        <f t="shared" si="7"/>
        <v>211.6</v>
      </c>
      <c r="S11">
        <f t="shared" si="8"/>
        <v>8.7200000000000006</v>
      </c>
      <c r="T11">
        <f t="shared" si="9"/>
        <v>9.3563561263999997</v>
      </c>
      <c r="U11">
        <f t="shared" si="10"/>
        <v>241.05919999999998</v>
      </c>
      <c r="V11">
        <f t="shared" si="11"/>
        <v>322.39943096463998</v>
      </c>
      <c r="W11">
        <f t="shared" si="12"/>
        <v>81.34023096464</v>
      </c>
      <c r="X11">
        <f t="shared" si="13"/>
        <v>0</v>
      </c>
      <c r="Y11">
        <f t="shared" si="14"/>
        <v>0.73</v>
      </c>
      <c r="Z11" s="52">
        <f t="shared" si="15"/>
        <v>0.3404567465777702</v>
      </c>
      <c r="AA11">
        <f t="shared" si="16"/>
        <v>6.6067982996558861E-2</v>
      </c>
      <c r="AB11" s="78" t="e" cm="1" vm="5">
        <f t="array" ref="AB11">_FV(O11,"Beta")</f>
        <v>#VALUE!</v>
      </c>
      <c r="AC11" t="e" cm="1" vm="6">
        <f t="array" ref="AC11">_FV(O11,"Industry")</f>
        <v>#VALUE!</v>
      </c>
    </row>
    <row r="12" spans="1:29" x14ac:dyDescent="0.3">
      <c r="C12" t="str">
        <f>'Australian Portfolio'!C12</f>
        <v/>
      </c>
      <c r="D12" t="str">
        <f>'Australian Portfolio'!D12</f>
        <v/>
      </c>
      <c r="E12" t="str">
        <f>'Australian Portfolio'!E12</f>
        <v/>
      </c>
      <c r="F12" t="str">
        <f>'Australian Portfolio'!F12</f>
        <v/>
      </c>
      <c r="G12" t="str">
        <f>'Australian Portfolio'!G12</f>
        <v/>
      </c>
      <c r="H12" t="str">
        <f>'Australian Portfolio'!H12</f>
        <v/>
      </c>
      <c r="I12" t="str">
        <f>'Australian Portfolio'!I12</f>
        <v/>
      </c>
      <c r="J12" t="str">
        <f t="shared" si="4"/>
        <v/>
      </c>
      <c r="K12" t="str">
        <f>'Australian Portfolio'!K12</f>
        <v/>
      </c>
      <c r="L12" t="str">
        <f>'Australian Portfolio'!L12</f>
        <v/>
      </c>
      <c r="N12" t="str">
        <v>RIO</v>
      </c>
      <c r="O12" t="s">
        <v>51</v>
      </c>
      <c r="P12">
        <f t="shared" si="5"/>
        <v>1</v>
      </c>
      <c r="Q12">
        <f t="shared" si="6"/>
        <v>55.833500000000001</v>
      </c>
      <c r="R12">
        <f t="shared" si="7"/>
        <v>62.42</v>
      </c>
      <c r="S12">
        <f t="shared" si="8"/>
        <v>0.27</v>
      </c>
      <c r="T12">
        <f t="shared" si="9"/>
        <v>0.27</v>
      </c>
      <c r="U12">
        <f t="shared" si="10"/>
        <v>79.283569999999997</v>
      </c>
      <c r="V12">
        <f t="shared" si="11"/>
        <v>88.636399999999995</v>
      </c>
      <c r="W12">
        <f t="shared" si="12"/>
        <v>9.3528299999999973</v>
      </c>
      <c r="X12">
        <f t="shared" si="13"/>
        <v>0</v>
      </c>
      <c r="Y12">
        <f t="shared" si="14"/>
        <v>2.31</v>
      </c>
      <c r="Z12" s="52">
        <f t="shared" si="15"/>
        <v>0.14710273515685532</v>
      </c>
      <c r="AA12">
        <f t="shared" si="16"/>
        <v>1.8163891141353986E-2</v>
      </c>
      <c r="AB12" s="78" t="e" cm="1" vm="5">
        <f t="array" ref="AB12">_FV(O12,"Beta")</f>
        <v>#VALUE!</v>
      </c>
      <c r="AC12" t="e" cm="1" vm="6">
        <f t="array" ref="AC12">_FV(O12,"Industry")</f>
        <v>#VALUE!</v>
      </c>
    </row>
    <row r="13" spans="1:29" x14ac:dyDescent="0.3">
      <c r="C13" t="str">
        <f>'Australian Portfolio'!C13</f>
        <v/>
      </c>
      <c r="D13" t="str">
        <f>'Australian Portfolio'!D13</f>
        <v/>
      </c>
      <c r="E13" t="str">
        <f>'Australian Portfolio'!E13</f>
        <v/>
      </c>
      <c r="F13" t="str">
        <f>'Australian Portfolio'!F13</f>
        <v/>
      </c>
      <c r="G13" t="str">
        <f>'Australian Portfolio'!G13</f>
        <v/>
      </c>
      <c r="H13" t="str">
        <f>'Australian Portfolio'!H13</f>
        <v/>
      </c>
      <c r="I13" t="str">
        <f>'Australian Portfolio'!I13</f>
        <v/>
      </c>
      <c r="J13" t="str">
        <f t="shared" si="4"/>
        <v/>
      </c>
      <c r="K13" t="str">
        <f>'Australian Portfolio'!K13</f>
        <v/>
      </c>
      <c r="L13" t="str">
        <f>'Australian Portfolio'!L13</f>
        <v/>
      </c>
      <c r="N13" t="str">
        <v>SQ</v>
      </c>
      <c r="O13" t="s">
        <v>56</v>
      </c>
      <c r="P13">
        <f t="shared" si="5"/>
        <v>1.0056965</v>
      </c>
      <c r="Q13">
        <f t="shared" si="6"/>
        <v>69.424920937877388</v>
      </c>
      <c r="R13">
        <f t="shared" si="7"/>
        <v>128.38999999999999</v>
      </c>
      <c r="S13">
        <f t="shared" si="8"/>
        <v>7.66</v>
      </c>
      <c r="T13">
        <f t="shared" si="9"/>
        <v>7.70363519</v>
      </c>
      <c r="U13">
        <f t="shared" si="10"/>
        <v>99.144968000000006</v>
      </c>
      <c r="V13">
        <f t="shared" si="11"/>
        <v>183.35235056169998</v>
      </c>
      <c r="W13">
        <f t="shared" si="12"/>
        <v>84.207382561699973</v>
      </c>
      <c r="X13">
        <f t="shared" si="13"/>
        <v>0</v>
      </c>
      <c r="Y13">
        <f t="shared" si="14"/>
        <v>0</v>
      </c>
      <c r="Z13" s="52">
        <f t="shared" si="15"/>
        <v>0.84933591951635878</v>
      </c>
      <c r="AA13">
        <f t="shared" si="16"/>
        <v>3.7573639454153061E-2</v>
      </c>
      <c r="AB13" s="78" t="e" cm="1" vm="5">
        <f t="array" ref="AB13">_FV(O13,"Beta")</f>
        <v>#VALUE!</v>
      </c>
      <c r="AC13" t="e" cm="1" vm="6">
        <f t="array" ref="AC13">_FV(O13,"Industry")</f>
        <v>#VALUE!</v>
      </c>
    </row>
    <row r="14" spans="1:29" x14ac:dyDescent="0.3">
      <c r="C14" t="str">
        <f>'Australian Portfolio'!C14</f>
        <v/>
      </c>
      <c r="D14" t="str">
        <f>'Australian Portfolio'!D14</f>
        <v/>
      </c>
      <c r="E14" t="str">
        <f>'Australian Portfolio'!E14</f>
        <v/>
      </c>
      <c r="F14" t="str">
        <f>'Australian Portfolio'!F14</f>
        <v/>
      </c>
      <c r="G14" t="str">
        <f>'Australian Portfolio'!G14</f>
        <v/>
      </c>
      <c r="H14" t="str">
        <f>'Australian Portfolio'!H14</f>
        <v/>
      </c>
      <c r="I14" t="str">
        <f>'Australian Portfolio'!I14</f>
        <v/>
      </c>
      <c r="J14" t="str">
        <f t="shared" si="4"/>
        <v/>
      </c>
      <c r="K14" t="str">
        <f>'Australian Portfolio'!K14</f>
        <v/>
      </c>
      <c r="L14" t="str">
        <f>'Australian Portfolio'!L14</f>
        <v/>
      </c>
      <c r="P14" t="str">
        <f t="shared" si="5"/>
        <v/>
      </c>
      <c r="Q14" t="str">
        <f t="shared" si="6"/>
        <v/>
      </c>
      <c r="R14" t="str">
        <f t="shared" si="7"/>
        <v/>
      </c>
      <c r="S14" t="str">
        <f t="shared" si="8"/>
        <v/>
      </c>
      <c r="T14" t="str">
        <f t="shared" si="9"/>
        <v/>
      </c>
      <c r="U14" t="str">
        <f t="shared" si="10"/>
        <v/>
      </c>
      <c r="V14" t="str">
        <f t="shared" si="11"/>
        <v/>
      </c>
      <c r="W14" t="str">
        <f t="shared" si="12"/>
        <v/>
      </c>
      <c r="X14" t="str">
        <f t="shared" si="13"/>
        <v/>
      </c>
      <c r="Y14" t="str">
        <f t="shared" si="14"/>
        <v/>
      </c>
      <c r="Z14" s="52" t="e">
        <f t="shared" si="15"/>
        <v>#VALUE!</v>
      </c>
      <c r="AA14" t="e">
        <f t="shared" si="16"/>
        <v>#VALUE!</v>
      </c>
      <c r="AB14" s="78" t="e" cm="1" vm="5">
        <f t="array" ref="AB14">_FV(O14,"Beta")</f>
        <v>#VALUE!</v>
      </c>
      <c r="AC14" t="s">
        <v>131</v>
      </c>
    </row>
    <row r="15" spans="1:29" x14ac:dyDescent="0.3">
      <c r="C15" t="str">
        <f>'Australian Portfolio'!C15</f>
        <v/>
      </c>
      <c r="D15" t="str">
        <f>'Australian Portfolio'!D15</f>
        <v/>
      </c>
      <c r="E15" t="str">
        <f>'Australian Portfolio'!E15</f>
        <v/>
      </c>
      <c r="F15" t="str">
        <f>'Australian Portfolio'!F15</f>
        <v/>
      </c>
      <c r="G15" t="str">
        <f>'Australian Portfolio'!G15</f>
        <v/>
      </c>
      <c r="H15" t="str">
        <f>'Australian Portfolio'!H15</f>
        <v/>
      </c>
      <c r="I15" t="str">
        <f>'Australian Portfolio'!I15</f>
        <v/>
      </c>
      <c r="J15" t="str">
        <f t="shared" si="4"/>
        <v/>
      </c>
      <c r="K15" t="str">
        <f>'Australian Portfolio'!K15</f>
        <v/>
      </c>
      <c r="L15" t="str">
        <f>'Australian Portfolio'!L15</f>
        <v/>
      </c>
      <c r="P15" t="str">
        <f t="shared" si="5"/>
        <v/>
      </c>
      <c r="Q15" t="str">
        <f t="shared" si="6"/>
        <v/>
      </c>
      <c r="R15" t="str">
        <f t="shared" si="7"/>
        <v/>
      </c>
      <c r="S15" t="str">
        <f t="shared" si="8"/>
        <v/>
      </c>
      <c r="T15" t="str">
        <f t="shared" ref="T15:T25" si="17">IF($N15="","",SUMIF($A$2:$A$42,$N15,G$2:G$42))</f>
        <v/>
      </c>
      <c r="U15" t="str">
        <f t="shared" ref="U15:U25" si="18">IF($N15="","",SUMIF($A$2:$A$42,$N15,H$2:H$42))</f>
        <v/>
      </c>
      <c r="V15" t="str">
        <f t="shared" ref="V15:V20" si="19">IF($N15="","",SUMIF($A$2:$A$42,$N15,M$2:M$42))</f>
        <v/>
      </c>
      <c r="W15" t="str">
        <f t="shared" ref="W15:W25" si="20">IF($N15="","",SUMIF($A$2:$A$42,$N15,J$2:J$42))</f>
        <v/>
      </c>
      <c r="X15" t="str">
        <f t="shared" si="13"/>
        <v/>
      </c>
      <c r="Y15" t="str">
        <f t="shared" si="14"/>
        <v/>
      </c>
    </row>
    <row r="16" spans="1:29" x14ac:dyDescent="0.3">
      <c r="C16" t="str">
        <f>'Australian Portfolio'!C16</f>
        <v/>
      </c>
      <c r="D16" t="str">
        <f>'Australian Portfolio'!D16</f>
        <v/>
      </c>
      <c r="E16" t="str">
        <f>'Australian Portfolio'!E16</f>
        <v/>
      </c>
      <c r="F16" t="str">
        <f>'Australian Portfolio'!F16</f>
        <v/>
      </c>
      <c r="G16" t="str">
        <f>'Australian Portfolio'!G16</f>
        <v/>
      </c>
      <c r="H16" t="str">
        <f>'Australian Portfolio'!H16</f>
        <v/>
      </c>
      <c r="I16" t="str">
        <f>'Australian Portfolio'!I16</f>
        <v/>
      </c>
      <c r="J16" t="str">
        <f t="shared" si="4"/>
        <v/>
      </c>
      <c r="K16" t="str">
        <f>'Australian Portfolio'!K16</f>
        <v/>
      </c>
      <c r="L16" t="str">
        <f>'Australian Portfolio'!L16</f>
        <v/>
      </c>
      <c r="P16" t="str">
        <f t="shared" si="5"/>
        <v/>
      </c>
      <c r="Q16" t="str">
        <f t="shared" si="6"/>
        <v/>
      </c>
      <c r="R16" t="str">
        <f t="shared" si="7"/>
        <v/>
      </c>
      <c r="S16" t="str">
        <f t="shared" si="8"/>
        <v/>
      </c>
      <c r="T16" t="str">
        <f t="shared" si="17"/>
        <v/>
      </c>
      <c r="U16" t="str">
        <f t="shared" si="18"/>
        <v/>
      </c>
      <c r="V16" t="str">
        <f t="shared" si="19"/>
        <v/>
      </c>
      <c r="W16" t="str">
        <f t="shared" si="20"/>
        <v/>
      </c>
      <c r="X16" t="str">
        <f t="shared" si="13"/>
        <v/>
      </c>
      <c r="Y16" t="str">
        <f t="shared" si="14"/>
        <v/>
      </c>
    </row>
    <row r="17" spans="1:25" x14ac:dyDescent="0.3">
      <c r="C17" t="str">
        <f>'Australian Portfolio'!C17</f>
        <v/>
      </c>
      <c r="D17" t="str">
        <f>'Australian Portfolio'!D17</f>
        <v/>
      </c>
      <c r="E17" t="str">
        <f>'Australian Portfolio'!E17</f>
        <v/>
      </c>
      <c r="F17" t="str">
        <f>'Australian Portfolio'!F17</f>
        <v/>
      </c>
      <c r="G17" t="str">
        <f>'Australian Portfolio'!G17</f>
        <v/>
      </c>
      <c r="H17" t="str">
        <f>'Australian Portfolio'!H17</f>
        <v/>
      </c>
      <c r="I17" t="str">
        <f>'Australian Portfolio'!I17</f>
        <v/>
      </c>
      <c r="J17" t="str">
        <f t="shared" si="4"/>
        <v/>
      </c>
      <c r="K17" t="str">
        <f>'Australian Portfolio'!K17</f>
        <v/>
      </c>
      <c r="L17" t="str">
        <f>'Australian Portfolio'!L17</f>
        <v/>
      </c>
      <c r="P17" t="str">
        <f t="shared" si="5"/>
        <v/>
      </c>
      <c r="Q17" t="str">
        <f t="shared" si="6"/>
        <v/>
      </c>
      <c r="R17" t="str">
        <f t="shared" si="7"/>
        <v/>
      </c>
      <c r="S17" t="str">
        <f t="shared" si="8"/>
        <v/>
      </c>
      <c r="T17" t="str">
        <f t="shared" si="17"/>
        <v/>
      </c>
      <c r="U17" t="str">
        <f t="shared" si="18"/>
        <v/>
      </c>
      <c r="V17" t="str">
        <f t="shared" si="19"/>
        <v/>
      </c>
      <c r="W17" t="str">
        <f t="shared" si="20"/>
        <v/>
      </c>
      <c r="X17" t="str">
        <f t="shared" si="13"/>
        <v/>
      </c>
      <c r="Y17" t="str">
        <f t="shared" si="14"/>
        <v/>
      </c>
    </row>
    <row r="18" spans="1:25" x14ac:dyDescent="0.3">
      <c r="C18" t="str">
        <f>'Australian Portfolio'!C18</f>
        <v/>
      </c>
      <c r="D18" t="str">
        <f>'Australian Portfolio'!D18</f>
        <v/>
      </c>
      <c r="E18" t="str">
        <f>'Australian Portfolio'!E18</f>
        <v/>
      </c>
      <c r="F18" t="str">
        <f>'Australian Portfolio'!F18</f>
        <v/>
      </c>
      <c r="G18" t="str">
        <f>'Australian Portfolio'!G18</f>
        <v/>
      </c>
      <c r="H18" t="str">
        <f>'Australian Portfolio'!H18</f>
        <v/>
      </c>
      <c r="I18" t="str">
        <f>'Australian Portfolio'!I18</f>
        <v/>
      </c>
      <c r="J18" t="str">
        <f t="shared" si="4"/>
        <v/>
      </c>
      <c r="K18" t="str">
        <f>'Australian Portfolio'!K18</f>
        <v/>
      </c>
      <c r="L18" t="str">
        <f>'Australian Portfolio'!L18</f>
        <v/>
      </c>
      <c r="P18" t="str">
        <f t="shared" si="5"/>
        <v/>
      </c>
      <c r="Q18" t="str">
        <f t="shared" si="6"/>
        <v/>
      </c>
      <c r="R18" t="str">
        <f t="shared" si="7"/>
        <v/>
      </c>
      <c r="S18" t="str">
        <f t="shared" si="8"/>
        <v/>
      </c>
      <c r="T18" t="str">
        <f t="shared" si="17"/>
        <v/>
      </c>
      <c r="U18" t="str">
        <f t="shared" si="18"/>
        <v/>
      </c>
      <c r="V18" t="str">
        <f t="shared" si="19"/>
        <v/>
      </c>
      <c r="W18" t="str">
        <f t="shared" si="20"/>
        <v/>
      </c>
      <c r="X18" t="str">
        <f t="shared" si="13"/>
        <v/>
      </c>
      <c r="Y18" t="str">
        <f t="shared" si="14"/>
        <v/>
      </c>
    </row>
    <row r="19" spans="1:25" x14ac:dyDescent="0.3">
      <c r="C19" t="str">
        <f>'Australian Portfolio'!C19</f>
        <v/>
      </c>
      <c r="D19" t="str">
        <f>'Australian Portfolio'!D19</f>
        <v/>
      </c>
      <c r="E19" t="str">
        <f>'Australian Portfolio'!E19</f>
        <v/>
      </c>
      <c r="F19" t="str">
        <f>'Australian Portfolio'!F19</f>
        <v/>
      </c>
      <c r="G19" t="str">
        <f>'Australian Portfolio'!G19</f>
        <v/>
      </c>
      <c r="H19" t="str">
        <f>'Australian Portfolio'!H19</f>
        <v/>
      </c>
      <c r="I19" t="str">
        <f>'Australian Portfolio'!I19</f>
        <v/>
      </c>
      <c r="J19" t="str">
        <f t="shared" si="4"/>
        <v/>
      </c>
      <c r="K19" t="str">
        <f>'Australian Portfolio'!K19</f>
        <v/>
      </c>
      <c r="L19" t="str">
        <f>'Australian Portfolio'!L19</f>
        <v/>
      </c>
      <c r="P19" t="str">
        <f t="shared" si="5"/>
        <v/>
      </c>
      <c r="Q19" t="str">
        <f t="shared" si="6"/>
        <v/>
      </c>
      <c r="R19" t="str">
        <f t="shared" si="7"/>
        <v/>
      </c>
      <c r="S19" t="str">
        <f t="shared" si="8"/>
        <v/>
      </c>
      <c r="T19" t="str">
        <f t="shared" si="17"/>
        <v/>
      </c>
      <c r="U19" t="str">
        <f t="shared" si="18"/>
        <v/>
      </c>
      <c r="V19" t="str">
        <f t="shared" si="19"/>
        <v/>
      </c>
      <c r="W19" t="str">
        <f t="shared" si="20"/>
        <v/>
      </c>
      <c r="X19" t="str">
        <f t="shared" si="13"/>
        <v/>
      </c>
      <c r="Y19" t="str">
        <f t="shared" si="14"/>
        <v/>
      </c>
    </row>
    <row r="20" spans="1:25" x14ac:dyDescent="0.3">
      <c r="C20" t="str">
        <f>'Australian Portfolio'!C20</f>
        <v/>
      </c>
      <c r="D20" t="str">
        <f>'Australian Portfolio'!D20</f>
        <v/>
      </c>
      <c r="E20" t="str">
        <f>'Australian Portfolio'!E20</f>
        <v/>
      </c>
      <c r="F20" t="str">
        <f>'Australian Portfolio'!F20</f>
        <v/>
      </c>
      <c r="G20" t="str">
        <f>'Australian Portfolio'!G20</f>
        <v/>
      </c>
      <c r="H20" t="str">
        <f>'Australian Portfolio'!H20</f>
        <v/>
      </c>
      <c r="I20" t="str">
        <f>'Australian Portfolio'!I20</f>
        <v/>
      </c>
      <c r="J20" t="str">
        <f t="shared" si="4"/>
        <v/>
      </c>
      <c r="K20" t="str">
        <f>'Australian Portfolio'!K20</f>
        <v/>
      </c>
      <c r="L20" t="str">
        <f>'Australian Portfolio'!L20</f>
        <v/>
      </c>
      <c r="P20" t="str">
        <f t="shared" si="5"/>
        <v/>
      </c>
      <c r="Q20" t="str">
        <f t="shared" si="6"/>
        <v/>
      </c>
      <c r="R20" t="str">
        <f t="shared" si="7"/>
        <v/>
      </c>
      <c r="S20" t="str">
        <f t="shared" si="8"/>
        <v/>
      </c>
      <c r="T20" t="str">
        <f t="shared" si="17"/>
        <v/>
      </c>
      <c r="U20" t="str">
        <f t="shared" si="18"/>
        <v/>
      </c>
      <c r="V20" t="str">
        <f t="shared" si="19"/>
        <v/>
      </c>
      <c r="W20" t="str">
        <f t="shared" si="20"/>
        <v/>
      </c>
      <c r="X20" t="str">
        <f t="shared" si="13"/>
        <v/>
      </c>
      <c r="Y20" t="str">
        <f t="shared" si="14"/>
        <v/>
      </c>
    </row>
    <row r="21" spans="1:25" x14ac:dyDescent="0.3">
      <c r="C21" t="str">
        <f>'Australian Portfolio'!C21</f>
        <v/>
      </c>
      <c r="D21" t="str">
        <f>'Australian Portfolio'!D21</f>
        <v/>
      </c>
      <c r="E21" t="str">
        <f>'Australian Portfolio'!E21</f>
        <v/>
      </c>
      <c r="F21" t="str">
        <f>'Australian Portfolio'!F21</f>
        <v/>
      </c>
      <c r="G21" t="str">
        <f>'Australian Portfolio'!G21</f>
        <v/>
      </c>
      <c r="H21" t="str">
        <f>'Australian Portfolio'!H21</f>
        <v/>
      </c>
      <c r="I21" t="str">
        <f>'Australian Portfolio'!I21</f>
        <v/>
      </c>
      <c r="J21" t="str">
        <f t="shared" si="4"/>
        <v/>
      </c>
      <c r="K21" t="str">
        <f>'Australian Portfolio'!K21</f>
        <v/>
      </c>
      <c r="P21" t="str">
        <f t="shared" si="5"/>
        <v/>
      </c>
      <c r="Q21" t="str">
        <f t="shared" si="6"/>
        <v/>
      </c>
      <c r="R21" t="str">
        <f t="shared" si="7"/>
        <v/>
      </c>
      <c r="S21" t="str">
        <f t="shared" si="8"/>
        <v/>
      </c>
      <c r="T21" t="str">
        <f t="shared" si="17"/>
        <v/>
      </c>
      <c r="U21" t="str">
        <f t="shared" si="18"/>
        <v/>
      </c>
      <c r="V21" t="str">
        <f t="shared" ref="V21:V25" si="21">IF($N21="","",SUMIF($A$2:$A$42,$N21,I$2:I$42))</f>
        <v/>
      </c>
      <c r="W21" t="str">
        <f t="shared" si="20"/>
        <v/>
      </c>
      <c r="X21" t="str">
        <f t="shared" si="13"/>
        <v/>
      </c>
      <c r="Y21" t="str">
        <f t="shared" si="14"/>
        <v/>
      </c>
    </row>
    <row r="22" spans="1:25" x14ac:dyDescent="0.3">
      <c r="A22" t="str" cm="1">
        <f t="array" ref="A22:A29">_xlfn.UNIQUE('American Portfolio'!A2:A21,FALSE,TRUE)</f>
        <v>AAPL</v>
      </c>
      <c r="B22" t="e" vm="7">
        <f>'American Portfolio'!B2</f>
        <v>#VALUE!</v>
      </c>
      <c r="C22">
        <f>'American Portfolio'!C2</f>
        <v>0.58768887000000003</v>
      </c>
      <c r="D22">
        <f>'American Portfolio'!D2</f>
        <v>284.1639658753449</v>
      </c>
      <c r="E22">
        <f>'American Portfolio'!E2</f>
        <v>393.43</v>
      </c>
      <c r="F22">
        <f>'American Portfolio'!F2</f>
        <v>8.1199999999999992</v>
      </c>
      <c r="G22">
        <f>'American Portfolio'!G2</f>
        <v>4.7720336243999997</v>
      </c>
      <c r="H22">
        <f>'American Portfolio'!H2*$M$1</f>
        <v>237.14</v>
      </c>
      <c r="I22">
        <f>'American Portfolio'!I2*$M$1</f>
        <v>328.32449361622201</v>
      </c>
      <c r="J22">
        <f t="shared" si="4"/>
        <v>91.184493616222028</v>
      </c>
      <c r="K22">
        <f>'American Portfolio'!K2</f>
        <v>0</v>
      </c>
      <c r="L22">
        <f>'American Portfolio'!L2</f>
        <v>0.62</v>
      </c>
      <c r="Q22" t="str">
        <f t="shared" si="6"/>
        <v/>
      </c>
      <c r="R22" t="str">
        <f t="shared" si="7"/>
        <v/>
      </c>
      <c r="S22" t="str">
        <f t="shared" si="8"/>
        <v/>
      </c>
      <c r="T22" t="str">
        <f t="shared" si="17"/>
        <v/>
      </c>
      <c r="U22" t="str">
        <f t="shared" si="18"/>
        <v/>
      </c>
      <c r="V22" t="str">
        <f t="shared" si="21"/>
        <v/>
      </c>
      <c r="W22" t="str">
        <f t="shared" si="20"/>
        <v/>
      </c>
      <c r="X22" t="str">
        <f t="shared" si="13"/>
        <v/>
      </c>
      <c r="Y22" t="str">
        <f t="shared" si="14"/>
        <v/>
      </c>
    </row>
    <row r="23" spans="1:25" x14ac:dyDescent="0.3">
      <c r="A23" t="str">
        <v>AMZN</v>
      </c>
      <c r="B23" t="e" vm="8">
        <f>'American Portfolio'!B3</f>
        <v>#VALUE!</v>
      </c>
      <c r="C23">
        <f>'American Portfolio'!C3</f>
        <v>7.9299999999999995E-2</v>
      </c>
      <c r="D23">
        <f>'American Portfolio'!D3</f>
        <v>1826.718789407314</v>
      </c>
      <c r="E23">
        <f>'American Portfolio'!E3</f>
        <v>3196.84</v>
      </c>
      <c r="F23">
        <f>'American Portfolio'!F3</f>
        <v>234.87</v>
      </c>
      <c r="G23">
        <f>'American Portfolio'!G3</f>
        <v>18.625191000000001</v>
      </c>
      <c r="H23">
        <f>'American Portfolio'!H3*$M$1</f>
        <v>205.69949599999998</v>
      </c>
      <c r="I23">
        <f>'American Portfolio'!I3*$M$1</f>
        <v>359.98336503999997</v>
      </c>
      <c r="J23">
        <f t="shared" si="4"/>
        <v>154.28386903999998</v>
      </c>
      <c r="K23">
        <f>'American Portfolio'!K3</f>
        <v>0</v>
      </c>
      <c r="L23">
        <f>'American Portfolio'!L3</f>
        <v>0</v>
      </c>
      <c r="R23" t="str">
        <f t="shared" si="7"/>
        <v/>
      </c>
      <c r="S23" t="str">
        <f t="shared" si="8"/>
        <v/>
      </c>
      <c r="T23" t="str">
        <f t="shared" si="17"/>
        <v/>
      </c>
      <c r="U23" t="str">
        <f t="shared" si="18"/>
        <v/>
      </c>
      <c r="V23" t="str">
        <f t="shared" si="21"/>
        <v/>
      </c>
      <c r="W23" t="str">
        <f t="shared" si="20"/>
        <v/>
      </c>
      <c r="X23" t="str">
        <f t="shared" si="13"/>
        <v/>
      </c>
      <c r="Y23" t="str">
        <f t="shared" si="14"/>
        <v/>
      </c>
    </row>
    <row r="24" spans="1:25" x14ac:dyDescent="0.3">
      <c r="A24" t="str">
        <v>BABA</v>
      </c>
      <c r="B24" t="e" vm="9">
        <f>'American Portfolio'!B4</f>
        <v>#VALUE!</v>
      </c>
      <c r="C24">
        <f>'American Portfolio'!C4</f>
        <v>0.22550000000000001</v>
      </c>
      <c r="D24">
        <f>'American Portfolio'!D4</f>
        <v>210.64301552106429</v>
      </c>
      <c r="E24">
        <f>'American Portfolio'!E4</f>
        <v>254.81</v>
      </c>
      <c r="F24">
        <f>'American Portfolio'!F4</f>
        <v>7.67</v>
      </c>
      <c r="G24">
        <f>'American Portfolio'!G4</f>
        <v>1.7295849999999999</v>
      </c>
      <c r="H24">
        <f>'American Portfolio'!H4*$M$1</f>
        <v>67.45</v>
      </c>
      <c r="I24">
        <f>'American Portfolio'!I4*$M$1</f>
        <v>81.592710100000005</v>
      </c>
      <c r="J24">
        <f t="shared" si="4"/>
        <v>14.142710100000002</v>
      </c>
      <c r="K24">
        <f>'American Portfolio'!K4</f>
        <v>0</v>
      </c>
      <c r="L24">
        <f>'American Portfolio'!L4</f>
        <v>0</v>
      </c>
      <c r="R24" t="str">
        <f t="shared" si="7"/>
        <v/>
      </c>
      <c r="S24" t="str">
        <f t="shared" si="8"/>
        <v/>
      </c>
      <c r="T24" t="str">
        <f t="shared" si="17"/>
        <v/>
      </c>
      <c r="U24" t="str">
        <f t="shared" si="18"/>
        <v/>
      </c>
      <c r="V24" t="str">
        <f t="shared" si="21"/>
        <v/>
      </c>
      <c r="W24" t="str">
        <f t="shared" si="20"/>
        <v/>
      </c>
      <c r="X24" t="str">
        <f t="shared" si="13"/>
        <v/>
      </c>
      <c r="Y24" t="str">
        <f t="shared" si="14"/>
        <v/>
      </c>
    </row>
    <row r="25" spans="1:25" x14ac:dyDescent="0.3">
      <c r="A25" t="str">
        <v>BHP</v>
      </c>
      <c r="B25" t="e" vm="10">
        <f>'American Portfolio'!B5</f>
        <v>#VALUE!</v>
      </c>
      <c r="C25">
        <f>'American Portfolio'!C5</f>
        <v>1</v>
      </c>
      <c r="D25">
        <f>'American Portfolio'!D5</f>
        <v>51.6357</v>
      </c>
      <c r="E25">
        <f>'American Portfolio'!E5</f>
        <v>53.59</v>
      </c>
      <c r="F25">
        <f>'American Portfolio'!F5</f>
        <v>-0.25</v>
      </c>
      <c r="G25">
        <f>'American Portfolio'!G5</f>
        <v>-0.25</v>
      </c>
      <c r="H25">
        <f>'American Portfolio'!H5*$M$1</f>
        <v>73.322693999999998</v>
      </c>
      <c r="I25">
        <f>'American Portfolio'!I5*$M$1</f>
        <v>76.097800000000007</v>
      </c>
      <c r="J25">
        <f t="shared" si="4"/>
        <v>2.7751060000000081</v>
      </c>
      <c r="K25">
        <f>'American Portfolio'!K5</f>
        <v>0</v>
      </c>
      <c r="L25">
        <f>'American Portfolio'!L5</f>
        <v>1.3</v>
      </c>
      <c r="R25" t="str">
        <f t="shared" si="7"/>
        <v/>
      </c>
      <c r="S25" t="str">
        <f t="shared" si="8"/>
        <v/>
      </c>
      <c r="T25" t="str">
        <f t="shared" si="17"/>
        <v/>
      </c>
      <c r="U25" t="str">
        <f t="shared" si="18"/>
        <v/>
      </c>
      <c r="V25" t="str">
        <f t="shared" si="21"/>
        <v/>
      </c>
      <c r="W25" t="str">
        <f t="shared" si="20"/>
        <v/>
      </c>
      <c r="X25" t="str">
        <f t="shared" si="13"/>
        <v/>
      </c>
      <c r="Y25" t="str">
        <f t="shared" si="14"/>
        <v/>
      </c>
    </row>
    <row r="26" spans="1:25" x14ac:dyDescent="0.3">
      <c r="A26" t="str">
        <v>GOOGL</v>
      </c>
      <c r="B26" t="e" vm="11">
        <f>'American Portfolio'!B6</f>
        <v>#VALUE!</v>
      </c>
      <c r="C26">
        <f>'American Portfolio'!C6</f>
        <v>0.14734715999999998</v>
      </c>
      <c r="D26">
        <f>'American Portfolio'!D6</f>
        <v>1316.0755863906711</v>
      </c>
      <c r="E26">
        <f>'American Portfolio'!E6</f>
        <v>1563.84</v>
      </c>
      <c r="F26">
        <f>'American Portfolio'!F6</f>
        <v>46.99</v>
      </c>
      <c r="G26">
        <f>'American Portfolio'!G6</f>
        <v>6.9238430483999993</v>
      </c>
      <c r="H26">
        <f>'American Portfolio'!H6*$M$1</f>
        <v>275.3664</v>
      </c>
      <c r="I26">
        <f>'American Portfolio'!I6*$M$1</f>
        <v>327.20688342604791</v>
      </c>
      <c r="J26">
        <f t="shared" si="4"/>
        <v>51.840483426047911</v>
      </c>
      <c r="K26">
        <f>'American Portfolio'!K6</f>
        <v>0</v>
      </c>
      <c r="L26">
        <f>'American Portfolio'!L6</f>
        <v>0</v>
      </c>
    </row>
    <row r="27" spans="1:25" x14ac:dyDescent="0.3">
      <c r="A27" t="str">
        <v>MSFT</v>
      </c>
      <c r="B27" t="e" vm="12">
        <f>'American Portfolio'!B7</f>
        <v>#VALUE!</v>
      </c>
      <c r="C27">
        <f>'American Portfolio'!C7</f>
        <v>1.0729766199999999</v>
      </c>
      <c r="D27">
        <f>'American Portfolio'!D7</f>
        <v>158.21407180335393</v>
      </c>
      <c r="E27">
        <f>'American Portfolio'!E7</f>
        <v>211.6</v>
      </c>
      <c r="F27">
        <f>'American Portfolio'!F7</f>
        <v>8.7200000000000006</v>
      </c>
      <c r="G27">
        <f>'American Portfolio'!G7</f>
        <v>9.3563561263999997</v>
      </c>
      <c r="H27">
        <f>'American Portfolio'!H7*$M$1</f>
        <v>241.05919999999998</v>
      </c>
      <c r="I27">
        <f>'American Portfolio'!I7*$M$1</f>
        <v>322.39943096463998</v>
      </c>
      <c r="J27">
        <f t="shared" si="4"/>
        <v>81.34023096464</v>
      </c>
      <c r="K27">
        <f>'American Portfolio'!K7</f>
        <v>0</v>
      </c>
      <c r="L27">
        <f>'American Portfolio'!L7</f>
        <v>0.73</v>
      </c>
    </row>
    <row r="28" spans="1:25" x14ac:dyDescent="0.3">
      <c r="A28" t="str">
        <v>RIO</v>
      </c>
      <c r="B28" t="e" vm="13">
        <f>'American Portfolio'!B8</f>
        <v>#VALUE!</v>
      </c>
      <c r="C28">
        <f>'American Portfolio'!C8</f>
        <v>1</v>
      </c>
      <c r="D28">
        <f>'American Portfolio'!D8</f>
        <v>55.833500000000001</v>
      </c>
      <c r="E28">
        <f>'American Portfolio'!E8</f>
        <v>62.42</v>
      </c>
      <c r="F28">
        <f>'American Portfolio'!F8</f>
        <v>0.27</v>
      </c>
      <c r="G28">
        <f>'American Portfolio'!G8</f>
        <v>0.27</v>
      </c>
      <c r="H28">
        <f>'American Portfolio'!H8*$M$1</f>
        <v>79.283569999999997</v>
      </c>
      <c r="I28">
        <f>'American Portfolio'!I8*$M$1</f>
        <v>88.636399999999995</v>
      </c>
      <c r="J28">
        <f t="shared" si="4"/>
        <v>9.3528299999999973</v>
      </c>
      <c r="K28">
        <f>'American Portfolio'!K8</f>
        <v>0</v>
      </c>
      <c r="L28">
        <f>'American Portfolio'!L8</f>
        <v>2.31</v>
      </c>
    </row>
    <row r="29" spans="1:25" x14ac:dyDescent="0.3">
      <c r="A29" t="str">
        <v>SQ</v>
      </c>
      <c r="B29" t="e" vm="14">
        <f>'American Portfolio'!B9</f>
        <v>#VALUE!</v>
      </c>
      <c r="C29">
        <f>'American Portfolio'!C9</f>
        <v>1.0056965</v>
      </c>
      <c r="D29">
        <f>'American Portfolio'!D9</f>
        <v>69.424920937877388</v>
      </c>
      <c r="E29">
        <f>'American Portfolio'!E9</f>
        <v>128.38999999999999</v>
      </c>
      <c r="F29">
        <f>'American Portfolio'!F9</f>
        <v>7.66</v>
      </c>
      <c r="G29">
        <f>'American Portfolio'!G9</f>
        <v>7.70363519</v>
      </c>
      <c r="H29">
        <f>'American Portfolio'!H9*$M$1</f>
        <v>99.144968000000006</v>
      </c>
      <c r="I29">
        <f>'American Portfolio'!I9*$M$1</f>
        <v>183.35235056169998</v>
      </c>
      <c r="J29">
        <f t="shared" si="4"/>
        <v>84.207382561699973</v>
      </c>
      <c r="K29">
        <f>'American Portfolio'!K9</f>
        <v>0</v>
      </c>
      <c r="L29">
        <f>'American Portfolio'!L9</f>
        <v>0</v>
      </c>
    </row>
    <row r="30" spans="1:25" x14ac:dyDescent="0.3">
      <c r="B30">
        <f>'American Portfolio'!B10</f>
        <v>0</v>
      </c>
      <c r="C30" t="str">
        <f>'American Portfolio'!C10</f>
        <v/>
      </c>
      <c r="D30" t="str">
        <f>'American Portfolio'!D10</f>
        <v/>
      </c>
      <c r="E30" t="str">
        <f>'American Portfolio'!E10</f>
        <v/>
      </c>
      <c r="F30" t="str">
        <f>'American Portfolio'!F10</f>
        <v/>
      </c>
      <c r="G30" t="str">
        <f>'American Portfolio'!G10</f>
        <v/>
      </c>
      <c r="H30" t="e">
        <f>'American Portfolio'!H10*$M$1</f>
        <v>#VALUE!</v>
      </c>
      <c r="I30" t="e">
        <f>'American Portfolio'!I10*$M$1</f>
        <v>#VALUE!</v>
      </c>
      <c r="J30" t="str">
        <f t="shared" si="4"/>
        <v/>
      </c>
      <c r="K30" t="str">
        <f>'American Portfolio'!K10</f>
        <v/>
      </c>
      <c r="L30" t="str">
        <f>'American Portfolio'!L10</f>
        <v/>
      </c>
    </row>
    <row r="31" spans="1:25" x14ac:dyDescent="0.3">
      <c r="D31" t="str">
        <f>'American Portfolio'!D11</f>
        <v/>
      </c>
      <c r="E31" t="str">
        <f>'American Portfolio'!E11</f>
        <v/>
      </c>
      <c r="F31" t="str">
        <f>'American Portfolio'!F11</f>
        <v/>
      </c>
      <c r="G31" t="str">
        <f>'American Portfolio'!G11</f>
        <v/>
      </c>
      <c r="K31" t="str">
        <f>'American Portfolio'!K11</f>
        <v/>
      </c>
      <c r="L31" t="str">
        <f>'American Portfolio'!L11</f>
        <v/>
      </c>
    </row>
    <row r="32" spans="1:25" x14ac:dyDescent="0.3">
      <c r="D32" t="str">
        <f>'American Portfolio'!D12</f>
        <v/>
      </c>
      <c r="E32" t="str">
        <f>'American Portfolio'!E12</f>
        <v/>
      </c>
      <c r="F32" t="str">
        <f>'American Portfolio'!F12</f>
        <v/>
      </c>
      <c r="G32" t="str">
        <f>'American Portfolio'!G12</f>
        <v/>
      </c>
      <c r="I32" t="str">
        <f>'American Portfolio'!I12</f>
        <v/>
      </c>
      <c r="K32" t="str">
        <f>'American Portfolio'!K12</f>
        <v/>
      </c>
      <c r="L32" t="str">
        <f>'American Portfolio'!L12</f>
        <v/>
      </c>
    </row>
    <row r="33" spans="4:13" x14ac:dyDescent="0.3">
      <c r="D33" t="str">
        <f>'American Portfolio'!D13</f>
        <v/>
      </c>
      <c r="E33" t="str">
        <f>'American Portfolio'!E13</f>
        <v/>
      </c>
      <c r="F33" t="str">
        <f>'American Portfolio'!F13</f>
        <v/>
      </c>
      <c r="G33" t="str">
        <f>'American Portfolio'!G13</f>
        <v/>
      </c>
      <c r="I33" t="str">
        <f>'American Portfolio'!I13</f>
        <v/>
      </c>
      <c r="K33" t="str">
        <f>'American Portfolio'!K13</f>
        <v/>
      </c>
      <c r="L33" t="str">
        <f>'American Portfolio'!L13</f>
        <v/>
      </c>
      <c r="M33" t="str">
        <f t="shared" ref="M33:M50" si="22">IF(I33="","",I33*$M$1)</f>
        <v/>
      </c>
    </row>
    <row r="34" spans="4:13" x14ac:dyDescent="0.3">
      <c r="D34" t="str">
        <f>'American Portfolio'!D14</f>
        <v/>
      </c>
      <c r="E34" t="str">
        <f>'American Portfolio'!E14</f>
        <v/>
      </c>
      <c r="F34" t="str">
        <f>'American Portfolio'!F14</f>
        <v/>
      </c>
      <c r="G34" t="str">
        <f>'American Portfolio'!G14</f>
        <v/>
      </c>
      <c r="I34" t="str">
        <f>'American Portfolio'!I14</f>
        <v/>
      </c>
      <c r="K34" t="str">
        <f>'American Portfolio'!K14</f>
        <v/>
      </c>
      <c r="L34" t="str">
        <f>'American Portfolio'!L14</f>
        <v/>
      </c>
      <c r="M34" t="str">
        <f t="shared" si="22"/>
        <v/>
      </c>
    </row>
    <row r="35" spans="4:13" x14ac:dyDescent="0.3">
      <c r="D35" t="str">
        <f>'American Portfolio'!D15</f>
        <v/>
      </c>
      <c r="E35" t="str">
        <f>'American Portfolio'!E15</f>
        <v/>
      </c>
      <c r="F35" t="str">
        <f>'American Portfolio'!F15</f>
        <v/>
      </c>
      <c r="G35" t="str">
        <f>'American Portfolio'!G15</f>
        <v/>
      </c>
      <c r="I35" t="str">
        <f>'American Portfolio'!I15</f>
        <v/>
      </c>
      <c r="K35" t="str">
        <f>'American Portfolio'!K15</f>
        <v/>
      </c>
      <c r="L35" t="str">
        <f>'American Portfolio'!L15</f>
        <v/>
      </c>
      <c r="M35" t="str">
        <f t="shared" si="22"/>
        <v/>
      </c>
    </row>
    <row r="36" spans="4:13" x14ac:dyDescent="0.3">
      <c r="D36" t="str">
        <f>'American Portfolio'!D16</f>
        <v/>
      </c>
      <c r="E36" t="str">
        <f>'American Portfolio'!E16</f>
        <v/>
      </c>
      <c r="F36" t="str">
        <f>'American Portfolio'!F16</f>
        <v/>
      </c>
      <c r="G36" t="str">
        <f>'American Portfolio'!G16</f>
        <v/>
      </c>
      <c r="I36" t="str">
        <f>'American Portfolio'!I16</f>
        <v/>
      </c>
      <c r="K36" t="str">
        <f>'American Portfolio'!K16</f>
        <v/>
      </c>
      <c r="L36" t="str">
        <f>'American Portfolio'!L16</f>
        <v/>
      </c>
      <c r="M36" t="str">
        <f t="shared" si="22"/>
        <v/>
      </c>
    </row>
    <row r="37" spans="4:13" x14ac:dyDescent="0.3">
      <c r="D37" t="str">
        <f>'American Portfolio'!D17</f>
        <v/>
      </c>
      <c r="E37" t="str">
        <f>'American Portfolio'!E17</f>
        <v/>
      </c>
      <c r="F37" t="str">
        <f>'American Portfolio'!F17</f>
        <v/>
      </c>
      <c r="G37" t="str">
        <f>'American Portfolio'!G17</f>
        <v/>
      </c>
      <c r="I37" t="str">
        <f>'American Portfolio'!I17</f>
        <v/>
      </c>
      <c r="K37" t="str">
        <f>'American Portfolio'!K17</f>
        <v/>
      </c>
      <c r="L37" t="str">
        <f>'American Portfolio'!L17</f>
        <v/>
      </c>
      <c r="M37" t="str">
        <f t="shared" si="22"/>
        <v/>
      </c>
    </row>
    <row r="38" spans="4:13" x14ac:dyDescent="0.3">
      <c r="D38" t="str">
        <f>'American Portfolio'!D18</f>
        <v/>
      </c>
      <c r="E38" t="str">
        <f>'American Portfolio'!E18</f>
        <v/>
      </c>
      <c r="F38" t="str">
        <f>'American Portfolio'!F18</f>
        <v/>
      </c>
      <c r="G38" t="str">
        <f>'American Portfolio'!G18</f>
        <v/>
      </c>
      <c r="I38" t="str">
        <f>'American Portfolio'!I18</f>
        <v/>
      </c>
      <c r="K38" t="str">
        <f>'American Portfolio'!K18</f>
        <v/>
      </c>
      <c r="L38" t="str">
        <f>'American Portfolio'!L18</f>
        <v/>
      </c>
      <c r="M38" t="str">
        <f t="shared" si="22"/>
        <v/>
      </c>
    </row>
    <row r="39" spans="4:13" x14ac:dyDescent="0.3">
      <c r="D39" t="str">
        <f>'American Portfolio'!D19</f>
        <v/>
      </c>
      <c r="E39" t="str">
        <f>'American Portfolio'!E19</f>
        <v/>
      </c>
      <c r="F39" t="str">
        <f>'American Portfolio'!F19</f>
        <v/>
      </c>
      <c r="G39" t="str">
        <f>'American Portfolio'!G19</f>
        <v/>
      </c>
      <c r="H39" t="str">
        <f>'American Portfolio'!H19</f>
        <v/>
      </c>
      <c r="I39" t="str">
        <f>'American Portfolio'!I19</f>
        <v/>
      </c>
      <c r="K39" t="str">
        <f>'American Portfolio'!K19</f>
        <v/>
      </c>
      <c r="L39" t="str">
        <f>'American Portfolio'!L19</f>
        <v/>
      </c>
      <c r="M39" t="str">
        <f t="shared" si="22"/>
        <v/>
      </c>
    </row>
    <row r="40" spans="4:13" x14ac:dyDescent="0.3">
      <c r="D40" t="str">
        <f>'American Portfolio'!D20</f>
        <v/>
      </c>
      <c r="E40" t="str">
        <f>'American Portfolio'!E20</f>
        <v/>
      </c>
      <c r="F40" t="str">
        <f>'American Portfolio'!F20</f>
        <v/>
      </c>
      <c r="G40" t="str">
        <f>'American Portfolio'!G20</f>
        <v/>
      </c>
      <c r="H40" t="str">
        <f>'American Portfolio'!H20</f>
        <v/>
      </c>
      <c r="I40" t="str">
        <f>'American Portfolio'!I20</f>
        <v/>
      </c>
      <c r="K40" t="str">
        <f>'American Portfolio'!K20</f>
        <v/>
      </c>
      <c r="L40" t="str">
        <f>'American Portfolio'!L20</f>
        <v/>
      </c>
      <c r="M40" t="str">
        <f t="shared" si="22"/>
        <v/>
      </c>
    </row>
    <row r="41" spans="4:13" x14ac:dyDescent="0.3">
      <c r="M41" t="str">
        <f t="shared" si="22"/>
        <v/>
      </c>
    </row>
    <row r="42" spans="4:13" x14ac:dyDescent="0.3">
      <c r="M42" t="str">
        <f t="shared" si="22"/>
        <v/>
      </c>
    </row>
    <row r="43" spans="4:13" x14ac:dyDescent="0.3">
      <c r="M43" t="str">
        <f t="shared" si="22"/>
        <v/>
      </c>
    </row>
    <row r="44" spans="4:13" x14ac:dyDescent="0.3">
      <c r="M44" t="str">
        <f t="shared" si="22"/>
        <v/>
      </c>
    </row>
    <row r="45" spans="4:13" x14ac:dyDescent="0.3">
      <c r="M45" t="str">
        <f t="shared" si="22"/>
        <v/>
      </c>
    </row>
    <row r="46" spans="4:13" x14ac:dyDescent="0.3">
      <c r="M46" t="str">
        <f t="shared" si="22"/>
        <v/>
      </c>
    </row>
    <row r="47" spans="4:13" x14ac:dyDescent="0.3">
      <c r="M47" t="str">
        <f t="shared" si="22"/>
        <v/>
      </c>
    </row>
    <row r="48" spans="4:13" x14ac:dyDescent="0.3">
      <c r="M48" t="str">
        <f t="shared" si="22"/>
        <v/>
      </c>
    </row>
    <row r="49" spans="13:13" x14ac:dyDescent="0.3">
      <c r="M49" t="str">
        <f t="shared" si="22"/>
        <v/>
      </c>
    </row>
    <row r="50" spans="13:13" x14ac:dyDescent="0.3">
      <c r="M50" t="str">
        <f t="shared" si="22"/>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73035-2F19-446D-969D-523088ABF8FB}">
  <sheetPr codeName="Sheet4"/>
  <dimension ref="A1:E51"/>
  <sheetViews>
    <sheetView workbookViewId="0">
      <selection activeCell="C20" sqref="C20"/>
    </sheetView>
  </sheetViews>
  <sheetFormatPr defaultRowHeight="14.4" x14ac:dyDescent="0.3"/>
  <cols>
    <col min="1" max="1" width="11.44140625" customWidth="1"/>
    <col min="2" max="2" width="10.6640625" bestFit="1" customWidth="1"/>
    <col min="3" max="3" width="11.5546875" customWidth="1"/>
    <col min="4" max="4" width="16.77734375" bestFit="1" customWidth="1"/>
    <col min="5" max="5" width="14.6640625" bestFit="1" customWidth="1"/>
  </cols>
  <sheetData>
    <row r="1" spans="1:5" ht="15" thickBot="1" x14ac:dyDescent="0.35">
      <c r="A1" s="19" t="s">
        <v>71</v>
      </c>
      <c r="B1" s="20" t="s">
        <v>91</v>
      </c>
      <c r="C1" s="20" t="s">
        <v>69</v>
      </c>
      <c r="D1" s="20" t="s">
        <v>92</v>
      </c>
      <c r="E1" s="21" t="s">
        <v>93</v>
      </c>
    </row>
    <row r="2" spans="1:5" x14ac:dyDescent="0.3">
      <c r="A2" s="1" t="s">
        <v>0</v>
      </c>
      <c r="B2" s="2" t="s">
        <v>75</v>
      </c>
      <c r="C2" s="12">
        <v>0.67200000000000004</v>
      </c>
      <c r="D2" s="12">
        <v>10</v>
      </c>
      <c r="E2" s="22">
        <f>IF(A2="","",D2/C2)</f>
        <v>14.88095238095238</v>
      </c>
    </row>
    <row r="3" spans="1:5" x14ac:dyDescent="0.3">
      <c r="A3" s="4" t="s">
        <v>1</v>
      </c>
      <c r="B3" s="5" t="s">
        <v>75</v>
      </c>
      <c r="C3" s="13">
        <v>0.5484</v>
      </c>
      <c r="D3" s="13">
        <v>155</v>
      </c>
      <c r="E3" s="23">
        <f>IF(A3="","",D3/C3)</f>
        <v>282.64040846097737</v>
      </c>
    </row>
    <row r="4" spans="1:5" x14ac:dyDescent="0.3">
      <c r="A4" s="4" t="s">
        <v>5</v>
      </c>
      <c r="B4" s="5" t="s">
        <v>75</v>
      </c>
      <c r="C4" s="13">
        <v>7.9299999999999995E-2</v>
      </c>
      <c r="D4" s="13">
        <v>144.8588</v>
      </c>
      <c r="E4" s="23">
        <f t="shared" ref="E4:E51" si="0">IF(A4="","",D4/C4)</f>
        <v>1826.718789407314</v>
      </c>
    </row>
    <row r="5" spans="1:5" x14ac:dyDescent="0.3">
      <c r="A5" s="4" t="s">
        <v>10</v>
      </c>
      <c r="B5" s="5" t="s">
        <v>75</v>
      </c>
      <c r="C5" s="33">
        <v>0.22550000000000001</v>
      </c>
      <c r="D5" s="33">
        <v>47.5</v>
      </c>
      <c r="E5" s="23">
        <f t="shared" si="0"/>
        <v>210.64301552106429</v>
      </c>
    </row>
    <row r="6" spans="1:5" x14ac:dyDescent="0.3">
      <c r="A6" s="4" t="s">
        <v>12</v>
      </c>
      <c r="B6" s="5" t="s">
        <v>75</v>
      </c>
      <c r="C6" s="33">
        <v>1</v>
      </c>
      <c r="D6" s="33">
        <v>51.6357</v>
      </c>
      <c r="E6" s="23">
        <f t="shared" si="0"/>
        <v>51.6357</v>
      </c>
    </row>
    <row r="7" spans="1:5" x14ac:dyDescent="0.3">
      <c r="A7" s="4" t="s">
        <v>24</v>
      </c>
      <c r="B7" s="5" t="s">
        <v>75</v>
      </c>
      <c r="C7" s="33">
        <v>0.12859999999999999</v>
      </c>
      <c r="D7" s="33">
        <v>169.99</v>
      </c>
      <c r="E7" s="23">
        <f t="shared" si="0"/>
        <v>1321.8506998444791</v>
      </c>
    </row>
    <row r="8" spans="1:5" x14ac:dyDescent="0.3">
      <c r="A8" s="4" t="s">
        <v>35</v>
      </c>
      <c r="B8" s="5" t="s">
        <v>75</v>
      </c>
      <c r="C8" s="33">
        <v>0.2157</v>
      </c>
      <c r="D8" s="33">
        <v>25</v>
      </c>
      <c r="E8" s="23">
        <f t="shared" si="0"/>
        <v>115.9017153453871</v>
      </c>
    </row>
    <row r="9" spans="1:5" x14ac:dyDescent="0.3">
      <c r="A9" s="4" t="s">
        <v>42</v>
      </c>
      <c r="B9" s="5" t="s">
        <v>75</v>
      </c>
      <c r="C9" s="33">
        <v>1.0016</v>
      </c>
      <c r="D9" s="33">
        <v>157</v>
      </c>
      <c r="E9" s="23">
        <f t="shared" si="0"/>
        <v>156.74920127795525</v>
      </c>
    </row>
    <row r="10" spans="1:5" x14ac:dyDescent="0.3">
      <c r="A10" s="4" t="s">
        <v>51</v>
      </c>
      <c r="B10" s="5" t="s">
        <v>75</v>
      </c>
      <c r="C10" s="33">
        <v>1</v>
      </c>
      <c r="D10" s="33">
        <v>55.833500000000001</v>
      </c>
      <c r="E10" s="23">
        <f t="shared" si="0"/>
        <v>55.833500000000001</v>
      </c>
    </row>
    <row r="11" spans="1:5" x14ac:dyDescent="0.3">
      <c r="A11" s="4" t="s">
        <v>55</v>
      </c>
      <c r="B11" s="5" t="s">
        <v>75</v>
      </c>
      <c r="C11" s="33">
        <v>1</v>
      </c>
      <c r="D11" s="33">
        <v>16.41</v>
      </c>
      <c r="E11" s="23">
        <f t="shared" si="0"/>
        <v>16.41</v>
      </c>
    </row>
    <row r="12" spans="1:5" x14ac:dyDescent="0.3">
      <c r="A12" s="4" t="s">
        <v>56</v>
      </c>
      <c r="B12" s="5" t="s">
        <v>75</v>
      </c>
      <c r="C12" s="33">
        <v>0.79859999999999998</v>
      </c>
      <c r="D12" s="33">
        <v>54.820399999999999</v>
      </c>
      <c r="E12" s="23">
        <f t="shared" si="0"/>
        <v>68.645629852241427</v>
      </c>
    </row>
    <row r="13" spans="1:5" x14ac:dyDescent="0.3">
      <c r="A13" s="4" t="s">
        <v>60</v>
      </c>
      <c r="B13" s="5" t="s">
        <v>75</v>
      </c>
      <c r="C13" s="33">
        <v>0.21049999999999999</v>
      </c>
      <c r="D13" s="33">
        <v>30.4</v>
      </c>
      <c r="E13" s="23">
        <f t="shared" si="0"/>
        <v>144.41805225653206</v>
      </c>
    </row>
    <row r="14" spans="1:5" x14ac:dyDescent="0.3">
      <c r="A14" s="4" t="s">
        <v>63</v>
      </c>
      <c r="B14" s="5" t="s">
        <v>75</v>
      </c>
      <c r="C14" s="33">
        <v>5.2200000000000003E-2</v>
      </c>
      <c r="D14" s="33">
        <v>14.6107</v>
      </c>
      <c r="E14" s="23">
        <f t="shared" si="0"/>
        <v>279.89846743295016</v>
      </c>
    </row>
    <row r="15" spans="1:5" x14ac:dyDescent="0.3">
      <c r="A15" s="4" t="s">
        <v>35</v>
      </c>
      <c r="B15" s="5" t="s">
        <v>123</v>
      </c>
      <c r="C15" s="5">
        <v>0.21574826</v>
      </c>
      <c r="D15" s="5">
        <v>19.66</v>
      </c>
      <c r="E15" s="23">
        <f t="shared" si="0"/>
        <v>91.12472100586119</v>
      </c>
    </row>
    <row r="16" spans="1:5" x14ac:dyDescent="0.3">
      <c r="A16" s="4" t="s">
        <v>24</v>
      </c>
      <c r="B16" s="5" t="s">
        <v>75</v>
      </c>
      <c r="C16" s="5">
        <v>1.8747159999999999E-2</v>
      </c>
      <c r="D16" s="5">
        <v>23.93</v>
      </c>
      <c r="E16" s="23">
        <f t="shared" si="0"/>
        <v>1276.4600078091828</v>
      </c>
    </row>
    <row r="17" spans="1:5" x14ac:dyDescent="0.3">
      <c r="A17" s="4" t="s">
        <v>0</v>
      </c>
      <c r="B17" s="5" t="s">
        <v>123</v>
      </c>
      <c r="C17" s="5">
        <v>0.67204301</v>
      </c>
      <c r="D17" s="5">
        <v>11.51</v>
      </c>
      <c r="E17" s="23">
        <f t="shared" si="0"/>
        <v>17.126880019182106</v>
      </c>
    </row>
    <row r="18" spans="1:5" x14ac:dyDescent="0.3">
      <c r="A18" s="4" t="s">
        <v>63</v>
      </c>
      <c r="B18" s="5" t="s">
        <v>123</v>
      </c>
      <c r="C18" s="5">
        <v>5.2199330000000002E-2</v>
      </c>
      <c r="D18" s="5">
        <v>13.78</v>
      </c>
      <c r="E18" s="23">
        <f t="shared" si="0"/>
        <v>263.98806268203055</v>
      </c>
    </row>
    <row r="19" spans="1:5" x14ac:dyDescent="0.3">
      <c r="A19" s="4" t="s">
        <v>55</v>
      </c>
      <c r="B19" s="5" t="s">
        <v>123</v>
      </c>
      <c r="C19" s="5">
        <v>1</v>
      </c>
      <c r="D19" s="5">
        <v>14.27</v>
      </c>
      <c r="E19" s="23">
        <f t="shared" si="0"/>
        <v>14.27</v>
      </c>
    </row>
    <row r="20" spans="1:5" x14ac:dyDescent="0.3">
      <c r="A20" s="4" t="s">
        <v>42</v>
      </c>
      <c r="B20" s="5" t="s">
        <v>75</v>
      </c>
      <c r="C20" s="5">
        <v>7.1376620000000002E-2</v>
      </c>
      <c r="D20" s="5">
        <v>12.76</v>
      </c>
      <c r="E20" s="23">
        <f t="shared" si="0"/>
        <v>178.77002301313792</v>
      </c>
    </row>
    <row r="21" spans="1:5" x14ac:dyDescent="0.3">
      <c r="A21" s="4" t="s">
        <v>1</v>
      </c>
      <c r="B21" s="5" t="s">
        <v>75</v>
      </c>
      <c r="C21" s="5">
        <v>3.9288869999999997E-2</v>
      </c>
      <c r="D21" s="5">
        <v>12</v>
      </c>
      <c r="E21" s="23">
        <f t="shared" si="0"/>
        <v>305.43001109474517</v>
      </c>
    </row>
    <row r="22" spans="1:5" x14ac:dyDescent="0.3">
      <c r="A22" s="4" t="s">
        <v>56</v>
      </c>
      <c r="B22" s="5" t="s">
        <v>75</v>
      </c>
      <c r="C22" s="5">
        <v>0.20709649999999999</v>
      </c>
      <c r="D22" s="5">
        <v>15</v>
      </c>
      <c r="E22" s="23">
        <f t="shared" si="0"/>
        <v>72.430002438476748</v>
      </c>
    </row>
    <row r="23" spans="1:5" x14ac:dyDescent="0.3">
      <c r="A23" s="4" t="s">
        <v>60</v>
      </c>
      <c r="B23" s="5" t="s">
        <v>123</v>
      </c>
      <c r="C23" s="5">
        <v>0.21049999999999999</v>
      </c>
      <c r="D23" s="5">
        <v>33.25</v>
      </c>
      <c r="E23" s="23">
        <f t="shared" si="0"/>
        <v>157.95724465558195</v>
      </c>
    </row>
    <row r="24" spans="1:5" x14ac:dyDescent="0.3">
      <c r="A24" s="4"/>
      <c r="B24" s="5"/>
      <c r="C24" s="5"/>
      <c r="D24" s="5"/>
      <c r="E24" s="23" t="str">
        <f t="shared" si="0"/>
        <v/>
      </c>
    </row>
    <row r="25" spans="1:5" x14ac:dyDescent="0.3">
      <c r="A25" s="4"/>
      <c r="B25" s="5"/>
      <c r="C25" s="5"/>
      <c r="D25" s="5"/>
      <c r="E25" s="23" t="str">
        <f t="shared" si="0"/>
        <v/>
      </c>
    </row>
    <row r="26" spans="1:5" x14ac:dyDescent="0.3">
      <c r="A26" s="4"/>
      <c r="B26" s="5"/>
      <c r="C26" s="5"/>
      <c r="D26" s="5"/>
      <c r="E26" s="23" t="str">
        <f t="shared" si="0"/>
        <v/>
      </c>
    </row>
    <row r="27" spans="1:5" x14ac:dyDescent="0.3">
      <c r="A27" s="4"/>
      <c r="B27" s="5"/>
      <c r="C27" s="5"/>
      <c r="D27" s="5"/>
      <c r="E27" s="23" t="str">
        <f t="shared" si="0"/>
        <v/>
      </c>
    </row>
    <row r="28" spans="1:5" x14ac:dyDescent="0.3">
      <c r="A28" s="4"/>
      <c r="B28" s="5"/>
      <c r="C28" s="5"/>
      <c r="D28" s="5"/>
      <c r="E28" s="23" t="str">
        <f t="shared" si="0"/>
        <v/>
      </c>
    </row>
    <row r="29" spans="1:5" x14ac:dyDescent="0.3">
      <c r="A29" s="4"/>
      <c r="B29" s="5"/>
      <c r="C29" s="5"/>
      <c r="D29" s="5"/>
      <c r="E29" s="23" t="str">
        <f t="shared" si="0"/>
        <v/>
      </c>
    </row>
    <row r="30" spans="1:5" x14ac:dyDescent="0.3">
      <c r="A30" s="4"/>
      <c r="B30" s="5"/>
      <c r="C30" s="5"/>
      <c r="D30" s="5"/>
      <c r="E30" s="23" t="str">
        <f t="shared" si="0"/>
        <v/>
      </c>
    </row>
    <row r="31" spans="1:5" x14ac:dyDescent="0.3">
      <c r="A31" s="4"/>
      <c r="B31" s="5"/>
      <c r="C31" s="5"/>
      <c r="D31" s="5"/>
      <c r="E31" s="23" t="str">
        <f t="shared" si="0"/>
        <v/>
      </c>
    </row>
    <row r="32" spans="1:5" x14ac:dyDescent="0.3">
      <c r="A32" s="4"/>
      <c r="B32" s="5"/>
      <c r="C32" s="5"/>
      <c r="D32" s="5"/>
      <c r="E32" s="23" t="str">
        <f t="shared" si="0"/>
        <v/>
      </c>
    </row>
    <row r="33" spans="1:5" x14ac:dyDescent="0.3">
      <c r="A33" s="4"/>
      <c r="B33" s="5"/>
      <c r="C33" s="5"/>
      <c r="D33" s="5"/>
      <c r="E33" s="23" t="str">
        <f t="shared" si="0"/>
        <v/>
      </c>
    </row>
    <row r="34" spans="1:5" x14ac:dyDescent="0.3">
      <c r="A34" s="4"/>
      <c r="B34" s="5"/>
      <c r="C34" s="5"/>
      <c r="D34" s="5"/>
      <c r="E34" s="23" t="str">
        <f t="shared" si="0"/>
        <v/>
      </c>
    </row>
    <row r="35" spans="1:5" x14ac:dyDescent="0.3">
      <c r="A35" s="4"/>
      <c r="B35" s="5"/>
      <c r="C35" s="5"/>
      <c r="D35" s="5"/>
      <c r="E35" s="23" t="str">
        <f t="shared" si="0"/>
        <v/>
      </c>
    </row>
    <row r="36" spans="1:5" x14ac:dyDescent="0.3">
      <c r="A36" s="4"/>
      <c r="B36" s="5"/>
      <c r="C36" s="5"/>
      <c r="D36" s="5"/>
      <c r="E36" s="23" t="str">
        <f t="shared" si="0"/>
        <v/>
      </c>
    </row>
    <row r="37" spans="1:5" x14ac:dyDescent="0.3">
      <c r="A37" s="4"/>
      <c r="B37" s="5"/>
      <c r="C37" s="5"/>
      <c r="D37" s="5"/>
      <c r="E37" s="23" t="str">
        <f t="shared" si="0"/>
        <v/>
      </c>
    </row>
    <row r="38" spans="1:5" x14ac:dyDescent="0.3">
      <c r="A38" s="4"/>
      <c r="B38" s="5"/>
      <c r="C38" s="5"/>
      <c r="D38" s="5"/>
      <c r="E38" s="23" t="str">
        <f t="shared" si="0"/>
        <v/>
      </c>
    </row>
    <row r="39" spans="1:5" x14ac:dyDescent="0.3">
      <c r="A39" s="4"/>
      <c r="B39" s="5"/>
      <c r="C39" s="5"/>
      <c r="D39" s="5"/>
      <c r="E39" s="23" t="str">
        <f t="shared" si="0"/>
        <v/>
      </c>
    </row>
    <row r="40" spans="1:5" x14ac:dyDescent="0.3">
      <c r="A40" s="4"/>
      <c r="B40" s="5"/>
      <c r="C40" s="5"/>
      <c r="D40" s="5"/>
      <c r="E40" s="23" t="str">
        <f t="shared" si="0"/>
        <v/>
      </c>
    </row>
    <row r="41" spans="1:5" x14ac:dyDescent="0.3">
      <c r="A41" s="4"/>
      <c r="B41" s="5"/>
      <c r="C41" s="5"/>
      <c r="D41" s="5"/>
      <c r="E41" s="23" t="str">
        <f t="shared" si="0"/>
        <v/>
      </c>
    </row>
    <row r="42" spans="1:5" x14ac:dyDescent="0.3">
      <c r="A42" s="4"/>
      <c r="B42" s="5"/>
      <c r="C42" s="5"/>
      <c r="D42" s="5"/>
      <c r="E42" s="23" t="str">
        <f t="shared" si="0"/>
        <v/>
      </c>
    </row>
    <row r="43" spans="1:5" x14ac:dyDescent="0.3">
      <c r="A43" s="4"/>
      <c r="B43" s="5"/>
      <c r="C43" s="5"/>
      <c r="D43" s="5"/>
      <c r="E43" s="23" t="str">
        <f t="shared" si="0"/>
        <v/>
      </c>
    </row>
    <row r="44" spans="1:5" x14ac:dyDescent="0.3">
      <c r="A44" s="4"/>
      <c r="B44" s="5"/>
      <c r="C44" s="5"/>
      <c r="D44" s="5"/>
      <c r="E44" s="23" t="str">
        <f t="shared" si="0"/>
        <v/>
      </c>
    </row>
    <row r="45" spans="1:5" x14ac:dyDescent="0.3">
      <c r="A45" s="4"/>
      <c r="B45" s="5"/>
      <c r="C45" s="5"/>
      <c r="D45" s="5"/>
      <c r="E45" s="23" t="str">
        <f t="shared" si="0"/>
        <v/>
      </c>
    </row>
    <row r="46" spans="1:5" x14ac:dyDescent="0.3">
      <c r="A46" s="4"/>
      <c r="B46" s="5"/>
      <c r="C46" s="5"/>
      <c r="D46" s="5"/>
      <c r="E46" s="23" t="str">
        <f t="shared" si="0"/>
        <v/>
      </c>
    </row>
    <row r="47" spans="1:5" x14ac:dyDescent="0.3">
      <c r="A47" s="4"/>
      <c r="B47" s="5"/>
      <c r="C47" s="5"/>
      <c r="D47" s="5"/>
      <c r="E47" s="23" t="str">
        <f t="shared" si="0"/>
        <v/>
      </c>
    </row>
    <row r="48" spans="1:5" x14ac:dyDescent="0.3">
      <c r="A48" s="4"/>
      <c r="B48" s="5"/>
      <c r="C48" s="5"/>
      <c r="D48" s="5"/>
      <c r="E48" s="23" t="str">
        <f t="shared" si="0"/>
        <v/>
      </c>
    </row>
    <row r="49" spans="1:5" x14ac:dyDescent="0.3">
      <c r="A49" s="4"/>
      <c r="B49" s="5"/>
      <c r="C49" s="5"/>
      <c r="D49" s="5"/>
      <c r="E49" s="23" t="str">
        <f t="shared" si="0"/>
        <v/>
      </c>
    </row>
    <row r="50" spans="1:5" x14ac:dyDescent="0.3">
      <c r="A50" s="4"/>
      <c r="B50" s="5"/>
      <c r="C50" s="5"/>
      <c r="D50" s="5"/>
      <c r="E50" s="23" t="str">
        <f t="shared" si="0"/>
        <v/>
      </c>
    </row>
    <row r="51" spans="1:5" ht="15" thickBot="1" x14ac:dyDescent="0.35">
      <c r="A51" s="7"/>
      <c r="B51" s="8"/>
      <c r="C51" s="8"/>
      <c r="D51" s="8"/>
      <c r="E51" s="24" t="str">
        <f t="shared" si="0"/>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02D83-DB14-4A91-8474-5ACAAA02F5AB}">
  <sheetPr codeName="Sheet5"/>
  <dimension ref="A1:Y51"/>
  <sheetViews>
    <sheetView topLeftCell="J1" workbookViewId="0">
      <selection activeCell="O29" sqref="O29"/>
    </sheetView>
  </sheetViews>
  <sheetFormatPr defaultRowHeight="14.4" x14ac:dyDescent="0.3"/>
  <cols>
    <col min="2" max="2" width="10.6640625" bestFit="1" customWidth="1"/>
    <col min="3" max="3" width="15.88671875" bestFit="1" customWidth="1"/>
    <col min="4" max="4" width="9.33203125" bestFit="1" customWidth="1"/>
    <col min="5" max="5" width="9.77734375" customWidth="1"/>
    <col min="9" max="9" width="9.109375" bestFit="1" customWidth="1"/>
    <col min="10" max="10" width="15.5546875" bestFit="1" customWidth="1"/>
    <col min="11" max="11" width="14" bestFit="1" customWidth="1"/>
    <col min="12" max="12" width="13.109375" bestFit="1" customWidth="1"/>
    <col min="13" max="13" width="10.88671875" bestFit="1" customWidth="1"/>
    <col min="16" max="16" width="10.88671875" bestFit="1" customWidth="1"/>
    <col min="17" max="17" width="8.21875" bestFit="1" customWidth="1"/>
    <col min="18" max="18" width="14" bestFit="1" customWidth="1"/>
    <col min="19" max="19" width="12.33203125" bestFit="1" customWidth="1"/>
    <col min="22" max="22" width="11.21875" bestFit="1" customWidth="1"/>
    <col min="24" max="24" width="14" bestFit="1" customWidth="1"/>
    <col min="25" max="25" width="12.6640625" bestFit="1" customWidth="1"/>
  </cols>
  <sheetData>
    <row r="1" spans="1:25" ht="15" thickBot="1" x14ac:dyDescent="0.35">
      <c r="A1" s="34" t="s">
        <v>71</v>
      </c>
      <c r="B1" s="35" t="s">
        <v>74</v>
      </c>
      <c r="C1" s="35" t="s">
        <v>72</v>
      </c>
      <c r="D1" s="35" t="s">
        <v>83</v>
      </c>
      <c r="E1" s="35" t="s">
        <v>86</v>
      </c>
      <c r="F1" s="36"/>
      <c r="G1" s="35" t="s">
        <v>71</v>
      </c>
      <c r="H1" s="35" t="s">
        <v>89</v>
      </c>
      <c r="I1" s="35" t="s">
        <v>90</v>
      </c>
      <c r="J1" s="35" t="s">
        <v>88</v>
      </c>
      <c r="K1" s="35" t="s">
        <v>84</v>
      </c>
      <c r="L1" s="35" t="s">
        <v>85</v>
      </c>
      <c r="M1" s="37" t="s">
        <v>87</v>
      </c>
      <c r="O1" s="10" t="s">
        <v>71</v>
      </c>
      <c r="P1" s="11" t="s">
        <v>87</v>
      </c>
      <c r="Q1" s="11" t="s">
        <v>69</v>
      </c>
      <c r="R1" s="11" t="s">
        <v>84</v>
      </c>
      <c r="S1" s="29" t="s">
        <v>96</v>
      </c>
      <c r="U1" s="10" t="s">
        <v>71</v>
      </c>
      <c r="V1" s="11" t="s">
        <v>87</v>
      </c>
      <c r="W1" s="11" t="s">
        <v>69</v>
      </c>
      <c r="X1" s="11" t="s">
        <v>84</v>
      </c>
      <c r="Y1" s="29" t="s">
        <v>96</v>
      </c>
    </row>
    <row r="2" spans="1:25" x14ac:dyDescent="0.3">
      <c r="A2" s="1" t="str">
        <f>IF('American Transactions'!A2 = "","",'American Transactions'!A2)</f>
        <v>AAAU</v>
      </c>
      <c r="B2" s="2" t="str">
        <f>IF('American Transactions'!B2 = "","",'American Transactions'!B2)</f>
        <v>BUY</v>
      </c>
      <c r="C2" s="12">
        <f>IF('American Transactions'!C2 = "","", IF($B2 = "BUY", 'American Transactions'!C2,-'American Transactions'!C2))</f>
        <v>0.67200000000000004</v>
      </c>
      <c r="D2" s="3">
        <f>IF('American Transactions'!D2 = "","",IF($B2 = "BUY", 'American Transactions'!D2,-'American Transactions'!D2))</f>
        <v>10</v>
      </c>
      <c r="E2" s="3">
        <f>IFERROR(D2/C2,"")</f>
        <v>14.88095238095238</v>
      </c>
      <c r="F2" s="25"/>
      <c r="G2" s="2" t="str">
        <f>A2</f>
        <v>AAAU</v>
      </c>
      <c r="H2" s="2">
        <f>IF(A2="","",COUNTIF($G$2:G2,G2))</f>
        <v>1</v>
      </c>
      <c r="I2" s="2" t="str">
        <f>_xlfn.CONCAT(G2,H2)</f>
        <v>AAAU1</v>
      </c>
      <c r="J2" s="2">
        <f>IF(B2="BUY",C2,-C2)</f>
        <v>0.67200000000000004</v>
      </c>
      <c r="K2" s="3">
        <f>IF(G2="","",IF(COUNTIF($G$2:G2,G2)&gt;1,SUMIF($A$2:A2,G2,$D$2:D2),D2) +SUMIF($G$2:G2,G2,$M$2:M2))</f>
        <v>10</v>
      </c>
      <c r="L2" s="3">
        <f>IF(G2="","",IFERROR(K2/J2,0))</f>
        <v>14.88095238095238</v>
      </c>
      <c r="M2" s="30">
        <f>IF(G2="","",IF(B2 = "BUY", 0,(E2-VLOOKUP(CONCATENATE(G2,(H2-1)),$I1:L$2,4,FALSE))*-C2))</f>
        <v>0</v>
      </c>
      <c r="O2" s="38" t="str" cm="1">
        <f t="array" ref="O2:O15">_xlfn.UNIQUE(G2:G51,FALSE,FALSE)</f>
        <v>AAAU</v>
      </c>
      <c r="P2" s="39">
        <f>IF(O2="","",SUMIF($G$2:$G$51,O2,$M$2:$M$51))</f>
        <v>1.5093599702380966</v>
      </c>
      <c r="Q2" s="39">
        <f>IF(O2="","",VLOOKUP(CONCATENATE(O2,(COUNTIF($G$2:$G$51,O2))),$I$2:$L$51,2,FALSE))</f>
        <v>-4.3009999999954474E-5</v>
      </c>
      <c r="R2" s="39">
        <f>IF(O2="","",VLOOKUP(CONCATENATE(O2,(COUNTIF($G$2:$G$51,O2))),$I$2:$L$51,3,FALSE))</f>
        <v>-6.4002976190313809E-4</v>
      </c>
      <c r="S2" s="43">
        <f>IF(O2="","",VLOOKUP(CONCATENATE(O2,(COUNTIF($G$2:$G$51,O2))),$I$2:$L$51,4,FALSE))</f>
        <v>14.880952380930378</v>
      </c>
      <c r="U2" s="1" t="str">
        <f>IF($Q2="","",IF($Q2&gt;0.0001,O2,""))</f>
        <v/>
      </c>
      <c r="V2" s="2" t="str">
        <f>IF($Q2="","",IF($Q2&gt;0.0001,P2,""))</f>
        <v/>
      </c>
      <c r="W2" s="2" t="str">
        <f>IF($Q2="","",IF($Q2&gt;0.0001,Q2,""))</f>
        <v/>
      </c>
      <c r="X2" s="2" t="str">
        <f>IF($Q2="","",IF($Q2&gt;0.0001,R2,""))</f>
        <v/>
      </c>
      <c r="Y2" s="75" t="str">
        <f>IF($Q2="","",IF($Q2&gt;0.0001,S2,""))</f>
        <v/>
      </c>
    </row>
    <row r="3" spans="1:25" x14ac:dyDescent="0.3">
      <c r="A3" s="4" t="str">
        <f>IF('American Transactions'!A3 = "","",'American Transactions'!A3)</f>
        <v>AAPL</v>
      </c>
      <c r="B3" s="5" t="str">
        <f>IF('American Transactions'!B3 = "","",'American Transactions'!B3)</f>
        <v>BUY</v>
      </c>
      <c r="C3" s="13">
        <f>IF('American Transactions'!C3 = "","", IF($B3 = "BUY", 'American Transactions'!C3,-'American Transactions'!C3))</f>
        <v>0.5484</v>
      </c>
      <c r="D3" s="6">
        <f>IF('American Transactions'!D3 = "","",IF($B3 = "BUY", 'American Transactions'!D3,-'American Transactions'!D3))</f>
        <v>155</v>
      </c>
      <c r="E3" s="6">
        <f t="shared" ref="E3:E51" si="0">IFERROR(D3/C3,"")</f>
        <v>282.64040846097737</v>
      </c>
      <c r="F3" s="26"/>
      <c r="G3" s="5" t="str">
        <f t="shared" ref="G3:G51" si="1">A3</f>
        <v>AAPL</v>
      </c>
      <c r="H3" s="5">
        <f>IF(A3="","",COUNTIF($G$2:G3,G3))</f>
        <v>1</v>
      </c>
      <c r="I3" s="5" t="str">
        <f t="shared" ref="I3:I13" si="2">_xlfn.CONCAT(G3,H3)</f>
        <v>AAPL1</v>
      </c>
      <c r="J3" s="5">
        <f>IF(G3="","",IF(COUNTIF($G$2:G3,G3)&gt;1,SUMIF($A$2:A3,G3,$C$2:C3),C3))</f>
        <v>0.5484</v>
      </c>
      <c r="K3" s="6">
        <f>IF(G3="","",IF(COUNTIF($G$2:G3,G3)&gt;1,SUMIF($A$2:A3,G3,$D$2:D3),D3) +SUMIF($G$2:G3,G3,$M$2:M3))</f>
        <v>155</v>
      </c>
      <c r="L3" s="6">
        <f t="shared" ref="L3:L51" si="3">IF(G3="","",IFERROR(K3/J3,0))</f>
        <v>282.64040846097737</v>
      </c>
      <c r="M3" s="31">
        <f>IF(G3="","",IF(B3 = "BUY", 0,(E3-VLOOKUP(CONCATENATE(G3,(H3-1)),$I2:L$2,4,FALSE))*-C3))</f>
        <v>0</v>
      </c>
      <c r="O3" s="40" t="str">
        <v>AAPL</v>
      </c>
      <c r="P3" s="17">
        <f t="shared" ref="P3:P21" si="4">IF(O3="","",SUMIF($G$2:$G$51,O3,$M$2:$M$51))</f>
        <v>0</v>
      </c>
      <c r="Q3" s="17">
        <f t="shared" ref="Q3:Q21" si="5">IF(O3="","",VLOOKUP(CONCATENATE(O3,(COUNTIF($G$2:$G$51,O3))),$I$2:$L$51,2,FALSE))</f>
        <v>0.58768887000000003</v>
      </c>
      <c r="R3" s="17">
        <f t="shared" ref="R3:R21" si="6">IF(O3="","",VLOOKUP(CONCATENATE(O3,(COUNTIF($G$2:$G$51,O3))),$I$2:$L$51,3,FALSE))</f>
        <v>167</v>
      </c>
      <c r="S3" s="44">
        <f t="shared" ref="S3:S21" si="7">IF(O3="","",VLOOKUP(CONCATENATE(O3,(COUNTIF($G$2:$G$51,O3))),$I$2:$L$51,4,FALSE))</f>
        <v>284.1639658753449</v>
      </c>
      <c r="U3" s="4" t="str">
        <f t="shared" ref="U3:U21" si="8">IF($Q3="","",IF($Q3&gt;0.0001,O3,""))</f>
        <v>AAPL</v>
      </c>
      <c r="V3" s="5">
        <f t="shared" ref="V3:V21" si="9">IF($Q3="","",IF($Q3&gt;0.0001,P3,""))</f>
        <v>0</v>
      </c>
      <c r="W3" s="5">
        <f t="shared" ref="W3:W21" si="10">IF($Q3="","",IF($Q3&gt;0.0001,Q3,""))</f>
        <v>0.58768887000000003</v>
      </c>
      <c r="X3" s="5">
        <f t="shared" ref="X3:X21" si="11">IF($Q3="","",IF($Q3&gt;0.0001,R3,""))</f>
        <v>167</v>
      </c>
      <c r="Y3" s="76">
        <f t="shared" ref="Y3:Y21" si="12">IF($Q3="","",IF($Q3&gt;0.0001,S3,""))</f>
        <v>284.1639658753449</v>
      </c>
    </row>
    <row r="4" spans="1:25" x14ac:dyDescent="0.3">
      <c r="A4" s="4" t="str">
        <f>IF('American Transactions'!A4 = "","",'American Transactions'!A4)</f>
        <v>AMZN</v>
      </c>
      <c r="B4" s="5" t="str">
        <f>IF('American Transactions'!B4 = "","",'American Transactions'!B4)</f>
        <v>BUY</v>
      </c>
      <c r="C4" s="13">
        <f>IF('American Transactions'!C4 = "","", IF($B4 = "BUY", 'American Transactions'!C4,-'American Transactions'!C4))</f>
        <v>7.9299999999999995E-2</v>
      </c>
      <c r="D4" s="6">
        <f>IF('American Transactions'!D4 = "","",IF($B4 = "BUY", 'American Transactions'!D4,-'American Transactions'!D4))</f>
        <v>144.8588</v>
      </c>
      <c r="E4" s="6">
        <f t="shared" si="0"/>
        <v>1826.718789407314</v>
      </c>
      <c r="F4" s="26"/>
      <c r="G4" s="5" t="str">
        <f t="shared" si="1"/>
        <v>AMZN</v>
      </c>
      <c r="H4" s="5">
        <f>IF(A4="","",COUNTIF($G$2:G4,G4))</f>
        <v>1</v>
      </c>
      <c r="I4" s="5" t="str">
        <f t="shared" si="2"/>
        <v>AMZN1</v>
      </c>
      <c r="J4" s="5">
        <f>IF(G4="","",IF(COUNTIF($G$2:G4,G4)&gt;1,SUMIF($A$2:A4,G4,$C$2:C4),C4))</f>
        <v>7.9299999999999995E-2</v>
      </c>
      <c r="K4" s="6">
        <f>IF(G4="","",IF(COUNTIF($G$2:G4,G4)&gt;1,SUMIF($A$2:A4,G4,$D$2:D4),D4) +SUMIF($G$2:G4,G4,$M$2:M4))</f>
        <v>144.8588</v>
      </c>
      <c r="L4" s="6">
        <f t="shared" si="3"/>
        <v>1826.718789407314</v>
      </c>
      <c r="M4" s="31">
        <f>IF(G4="","",IF(B4 = "BUY", 0,(E4-VLOOKUP(CONCATENATE(G4,(H4-1)),$I$2:L3,4,FALSE))*-C4))</f>
        <v>0</v>
      </c>
      <c r="O4" s="40" t="str">
        <v>AMZN</v>
      </c>
      <c r="P4" s="17">
        <f t="shared" si="4"/>
        <v>0</v>
      </c>
      <c r="Q4" s="17">
        <f t="shared" si="5"/>
        <v>7.9299999999999995E-2</v>
      </c>
      <c r="R4" s="17">
        <f t="shared" si="6"/>
        <v>144.8588</v>
      </c>
      <c r="S4" s="44">
        <f t="shared" si="7"/>
        <v>1826.718789407314</v>
      </c>
      <c r="U4" s="4" t="str">
        <f t="shared" si="8"/>
        <v>AMZN</v>
      </c>
      <c r="V4" s="5">
        <f t="shared" si="9"/>
        <v>0</v>
      </c>
      <c r="W4" s="5">
        <f t="shared" si="10"/>
        <v>7.9299999999999995E-2</v>
      </c>
      <c r="X4" s="5">
        <f t="shared" si="11"/>
        <v>144.8588</v>
      </c>
      <c r="Y4" s="76">
        <f t="shared" si="12"/>
        <v>1826.718789407314</v>
      </c>
    </row>
    <row r="5" spans="1:25" x14ac:dyDescent="0.3">
      <c r="A5" s="4" t="str">
        <f>IF('American Transactions'!A5 = "","",'American Transactions'!A5)</f>
        <v>BABA</v>
      </c>
      <c r="B5" s="5" t="str">
        <f>IF('American Transactions'!B5 = "","",'American Transactions'!B5)</f>
        <v>BUY</v>
      </c>
      <c r="C5" s="13">
        <f>IF('American Transactions'!C5 = "","", IF($B5 = "BUY", 'American Transactions'!C5,-'American Transactions'!C5))</f>
        <v>0.22550000000000001</v>
      </c>
      <c r="D5" s="6">
        <f>IF('American Transactions'!D5 = "","",IF($B5 = "BUY", 'American Transactions'!D5,-'American Transactions'!D5))</f>
        <v>47.5</v>
      </c>
      <c r="E5" s="6">
        <f t="shared" si="0"/>
        <v>210.64301552106429</v>
      </c>
      <c r="F5" s="26"/>
      <c r="G5" s="5" t="str">
        <f t="shared" si="1"/>
        <v>BABA</v>
      </c>
      <c r="H5" s="5">
        <f>IF(A5="","",COUNTIF($G$2:G5,G5))</f>
        <v>1</v>
      </c>
      <c r="I5" s="5" t="str">
        <f t="shared" si="2"/>
        <v>BABA1</v>
      </c>
      <c r="J5" s="5">
        <f>IF(G5="","",IF(COUNTIF($G$2:G5,G5)&gt;1,SUMIF($A$2:A5,G5,$C$2:C5),C5))</f>
        <v>0.22550000000000001</v>
      </c>
      <c r="K5" s="6">
        <f>IF(G5="","",IF(COUNTIF($G$2:G5,G5)&gt;1,SUMIF($A$2:A5,G5,$D$2:D5),D5) +SUMIF($G$2:G5,G5,$M$2:M5))</f>
        <v>47.5</v>
      </c>
      <c r="L5" s="6">
        <f t="shared" si="3"/>
        <v>210.64301552106429</v>
      </c>
      <c r="M5" s="31">
        <f>IF(G5="","",IF(B5 = "BUY", 0,(E5-VLOOKUP(CONCATENATE(G5,(H5-1)),$I$2:L4,4,FALSE))*-C5))</f>
        <v>0</v>
      </c>
      <c r="O5" s="40" t="str">
        <v>BABA</v>
      </c>
      <c r="P5" s="17">
        <f t="shared" si="4"/>
        <v>0</v>
      </c>
      <c r="Q5" s="17">
        <f t="shared" si="5"/>
        <v>0.22550000000000001</v>
      </c>
      <c r="R5" s="17">
        <f t="shared" si="6"/>
        <v>47.5</v>
      </c>
      <c r="S5" s="44">
        <f t="shared" si="7"/>
        <v>210.64301552106429</v>
      </c>
      <c r="U5" s="4" t="str">
        <f t="shared" si="8"/>
        <v>BABA</v>
      </c>
      <c r="V5" s="5">
        <f t="shared" si="9"/>
        <v>0</v>
      </c>
      <c r="W5" s="5">
        <f t="shared" si="10"/>
        <v>0.22550000000000001</v>
      </c>
      <c r="X5" s="5">
        <f t="shared" si="11"/>
        <v>47.5</v>
      </c>
      <c r="Y5" s="76">
        <f t="shared" si="12"/>
        <v>210.64301552106429</v>
      </c>
    </row>
    <row r="6" spans="1:25" x14ac:dyDescent="0.3">
      <c r="A6" s="4" t="str">
        <f>IF('American Transactions'!A6 = "","",'American Transactions'!A6)</f>
        <v>BHP</v>
      </c>
      <c r="B6" s="5" t="str">
        <f>IF('American Transactions'!B6 = "","",'American Transactions'!B6)</f>
        <v>BUY</v>
      </c>
      <c r="C6" s="13">
        <f>IF('American Transactions'!C6 = "","", IF($B6 = "BUY", 'American Transactions'!C6,-'American Transactions'!C6))</f>
        <v>1</v>
      </c>
      <c r="D6" s="6">
        <f>IF('American Transactions'!D6 = "","",IF($B6 = "BUY", 'American Transactions'!D6,-'American Transactions'!D6))</f>
        <v>51.6357</v>
      </c>
      <c r="E6" s="6">
        <f t="shared" si="0"/>
        <v>51.6357</v>
      </c>
      <c r="F6" s="26"/>
      <c r="G6" s="5" t="str">
        <f t="shared" si="1"/>
        <v>BHP</v>
      </c>
      <c r="H6" s="5">
        <f>IF(A6="","",COUNTIF($G$2:G6,G6))</f>
        <v>1</v>
      </c>
      <c r="I6" s="5" t="str">
        <f t="shared" si="2"/>
        <v>BHP1</v>
      </c>
      <c r="J6" s="5">
        <f>IF(G6="","",IF(COUNTIF($G$2:G6,G6)&gt;1,SUMIF($A$2:A6,G6,$C$2:C6),C6))</f>
        <v>1</v>
      </c>
      <c r="K6" s="6">
        <f>IF(G6="","",IF(COUNTIF($G$2:G6,G6)&gt;1,SUMIF($A$2:A6,G6,$D$2:D6),D6) +SUMIF($G$2:G6,G6,$M$2:M6))</f>
        <v>51.6357</v>
      </c>
      <c r="L6" s="6">
        <f t="shared" si="3"/>
        <v>51.6357</v>
      </c>
      <c r="M6" s="31">
        <f>IF(G6="","",IF(B6 = "BUY", 0,(E6-VLOOKUP(CONCATENATE(G6,(H6-1)),$I$2:L5,4,FALSE))*-C6))</f>
        <v>0</v>
      </c>
      <c r="O6" s="40" t="str">
        <v>BHP</v>
      </c>
      <c r="P6" s="17">
        <f t="shared" si="4"/>
        <v>0</v>
      </c>
      <c r="Q6" s="17">
        <f t="shared" si="5"/>
        <v>1</v>
      </c>
      <c r="R6" s="17">
        <f t="shared" si="6"/>
        <v>51.6357</v>
      </c>
      <c r="S6" s="44">
        <f t="shared" si="7"/>
        <v>51.6357</v>
      </c>
      <c r="U6" s="4" t="str">
        <f t="shared" si="8"/>
        <v>BHP</v>
      </c>
      <c r="V6" s="5">
        <f t="shared" si="9"/>
        <v>0</v>
      </c>
      <c r="W6" s="5">
        <f t="shared" si="10"/>
        <v>1</v>
      </c>
      <c r="X6" s="5">
        <f t="shared" si="11"/>
        <v>51.6357</v>
      </c>
      <c r="Y6" s="76">
        <f t="shared" si="12"/>
        <v>51.6357</v>
      </c>
    </row>
    <row r="7" spans="1:25" x14ac:dyDescent="0.3">
      <c r="A7" s="4" t="str">
        <f>IF('American Transactions'!A7 = "","",'American Transactions'!A7)</f>
        <v>GOOGL</v>
      </c>
      <c r="B7" s="5" t="str">
        <f>IF('American Transactions'!B7 = "","",'American Transactions'!B7)</f>
        <v>BUY</v>
      </c>
      <c r="C7" s="13">
        <f>IF('American Transactions'!C7 = "","", IF($B7 = "BUY", 'American Transactions'!C7,-'American Transactions'!C7))</f>
        <v>0.12859999999999999</v>
      </c>
      <c r="D7" s="6">
        <f>IF('American Transactions'!D7 = "","",IF($B7 = "BUY", 'American Transactions'!D7,-'American Transactions'!D7))</f>
        <v>169.99</v>
      </c>
      <c r="E7" s="6">
        <f t="shared" si="0"/>
        <v>1321.8506998444791</v>
      </c>
      <c r="F7" s="26"/>
      <c r="G7" s="5" t="str">
        <f t="shared" si="1"/>
        <v>GOOGL</v>
      </c>
      <c r="H7" s="5">
        <f>IF(A7="","",COUNTIF($G$2:G7,G7))</f>
        <v>1</v>
      </c>
      <c r="I7" s="5" t="str">
        <f t="shared" si="2"/>
        <v>GOOGL1</v>
      </c>
      <c r="J7" s="5">
        <f>IF(G7="","",IF(COUNTIF($G$2:G7,G7)&gt;1,SUMIF($A$2:A7,G7,$C$2:C7),C7))</f>
        <v>0.12859999999999999</v>
      </c>
      <c r="K7" s="6">
        <f>IF(G7="","",IF(COUNTIF($G$2:G7,G7)&gt;1,SUMIF($A$2:A7,G7,$D$2:D7),D7) +SUMIF($G$2:G7,G7,$M$2:M7))</f>
        <v>169.99</v>
      </c>
      <c r="L7" s="6">
        <f t="shared" si="3"/>
        <v>1321.8506998444791</v>
      </c>
      <c r="M7" s="31">
        <f>IF(G7="","",IF(B7 = "BUY", 0,(E7-VLOOKUP(CONCATENATE(G7,(H7-1)),$I$2:L6,4,FALSE))*-C7))</f>
        <v>0</v>
      </c>
      <c r="O7" s="40" t="str">
        <v>GOOGL</v>
      </c>
      <c r="P7" s="17">
        <f t="shared" si="4"/>
        <v>0</v>
      </c>
      <c r="Q7" s="17">
        <f t="shared" si="5"/>
        <v>0.14734715999999998</v>
      </c>
      <c r="R7" s="17">
        <f t="shared" si="6"/>
        <v>193.92000000000002</v>
      </c>
      <c r="S7" s="44">
        <f t="shared" si="7"/>
        <v>1316.0755863906711</v>
      </c>
      <c r="U7" s="4" t="str">
        <f t="shared" si="8"/>
        <v>GOOGL</v>
      </c>
      <c r="V7" s="5">
        <f t="shared" si="9"/>
        <v>0</v>
      </c>
      <c r="W7" s="5">
        <f t="shared" si="10"/>
        <v>0.14734715999999998</v>
      </c>
      <c r="X7" s="5">
        <f t="shared" si="11"/>
        <v>193.92000000000002</v>
      </c>
      <c r="Y7" s="76">
        <f t="shared" si="12"/>
        <v>1316.0755863906711</v>
      </c>
    </row>
    <row r="8" spans="1:25" x14ac:dyDescent="0.3">
      <c r="A8" s="4" t="str">
        <f>IF('American Transactions'!A8 = "","",'American Transactions'!A8)</f>
        <v>JPM</v>
      </c>
      <c r="B8" s="5" t="str">
        <f>IF('American Transactions'!B8 = "","",'American Transactions'!B8)</f>
        <v>BUY</v>
      </c>
      <c r="C8" s="13">
        <f>IF('American Transactions'!C8 = "","", IF($B8 = "BUY", 'American Transactions'!C8,-'American Transactions'!C8))</f>
        <v>0.2157</v>
      </c>
      <c r="D8" s="6">
        <f>IF('American Transactions'!D8 = "","",IF($B8 = "BUY", 'American Transactions'!D8,-'American Transactions'!D8))</f>
        <v>25</v>
      </c>
      <c r="E8" s="6">
        <f t="shared" si="0"/>
        <v>115.9017153453871</v>
      </c>
      <c r="F8" s="26"/>
      <c r="G8" s="5" t="str">
        <f t="shared" si="1"/>
        <v>JPM</v>
      </c>
      <c r="H8" s="5">
        <f>IF(A8="","",COUNTIF($G$2:G8,G8))</f>
        <v>1</v>
      </c>
      <c r="I8" s="5" t="str">
        <f t="shared" si="2"/>
        <v>JPM1</v>
      </c>
      <c r="J8" s="5">
        <f>IF(G8="","",IF(COUNTIF($G$2:G8,G8)&gt;1,SUMIF($A$2:A8,G8,$C$2:C8),C8))</f>
        <v>0.2157</v>
      </c>
      <c r="K8" s="6">
        <f>IF(G8="","",IF(COUNTIF($G$2:G8,G8)&gt;1,SUMIF($A$2:A8,G8,$D$2:D8),D8) +SUMIF($G$2:G8,G8,$M$2:M8))</f>
        <v>25</v>
      </c>
      <c r="L8" s="6">
        <f t="shared" si="3"/>
        <v>115.9017153453871</v>
      </c>
      <c r="M8" s="31">
        <f>IF(G8="","",IF(B8 = "BUY", 0,(E8-VLOOKUP(CONCATENATE(G8,(H8-1)),$I$2:L7,4,FALSE))*-C8))</f>
        <v>0</v>
      </c>
      <c r="O8" s="40" t="str">
        <v>JPM</v>
      </c>
      <c r="P8" s="17">
        <f t="shared" si="4"/>
        <v>-5.3455934167825649</v>
      </c>
      <c r="Q8" s="17">
        <f t="shared" si="5"/>
        <v>-4.8259999999994418E-5</v>
      </c>
      <c r="R8" s="17">
        <f t="shared" si="6"/>
        <v>-5.593416782565086E-3</v>
      </c>
      <c r="S8" s="44">
        <f t="shared" si="7"/>
        <v>115.90171534533222</v>
      </c>
      <c r="U8" s="4" t="str">
        <f t="shared" si="8"/>
        <v/>
      </c>
      <c r="V8" s="5" t="str">
        <f t="shared" si="9"/>
        <v/>
      </c>
      <c r="W8" s="5" t="str">
        <f t="shared" si="10"/>
        <v/>
      </c>
      <c r="X8" s="5" t="str">
        <f t="shared" si="11"/>
        <v/>
      </c>
      <c r="Y8" s="76" t="str">
        <f t="shared" si="12"/>
        <v/>
      </c>
    </row>
    <row r="9" spans="1:25" x14ac:dyDescent="0.3">
      <c r="A9" s="4" t="str">
        <f>IF('American Transactions'!A9 = "","",'American Transactions'!A9)</f>
        <v>MSFT</v>
      </c>
      <c r="B9" s="5" t="str">
        <f>IF('American Transactions'!B9 = "","",'American Transactions'!B9)</f>
        <v>BUY</v>
      </c>
      <c r="C9" s="13">
        <f>IF('American Transactions'!C9 = "","", IF($B9 = "BUY", 'American Transactions'!C9,-'American Transactions'!C9))</f>
        <v>1.0016</v>
      </c>
      <c r="D9" s="6">
        <f>IF('American Transactions'!D9 = "","",IF($B9 = "BUY", 'American Transactions'!D9,-'American Transactions'!D9))</f>
        <v>157</v>
      </c>
      <c r="E9" s="6">
        <f t="shared" si="0"/>
        <v>156.74920127795525</v>
      </c>
      <c r="F9" s="26"/>
      <c r="G9" s="5" t="str">
        <f t="shared" si="1"/>
        <v>MSFT</v>
      </c>
      <c r="H9" s="5">
        <f>IF(A9="","",COUNTIF($G$2:G9,G9))</f>
        <v>1</v>
      </c>
      <c r="I9" s="5" t="str">
        <f t="shared" si="2"/>
        <v>MSFT1</v>
      </c>
      <c r="J9" s="5">
        <f>IF(G9="","",IF(COUNTIF($G$2:G9,G9)&gt;1,SUMIF($A$2:A9,G9,$C$2:C9),C9))</f>
        <v>1.0016</v>
      </c>
      <c r="K9" s="6">
        <f>IF(G9="","",IF(COUNTIF($G$2:G9,G9)&gt;1,SUMIF($A$2:A9,G9,$D$2:D9),D9) +SUMIF($G$2:G9,G9,$M$2:M9))</f>
        <v>157</v>
      </c>
      <c r="L9" s="6">
        <f t="shared" si="3"/>
        <v>156.74920127795525</v>
      </c>
      <c r="M9" s="31">
        <f>IF(G9="","",IF(B9 = "BUY", 0,(E9-VLOOKUP(CONCATENATE(G9,(H9-1)),$I$2:L8,4,FALSE))*-C9))</f>
        <v>0</v>
      </c>
      <c r="O9" s="40" t="str">
        <v>MSFT</v>
      </c>
      <c r="P9" s="17">
        <f t="shared" si="4"/>
        <v>0</v>
      </c>
      <c r="Q9" s="17">
        <f t="shared" si="5"/>
        <v>1.0729766199999999</v>
      </c>
      <c r="R9" s="17">
        <f t="shared" si="6"/>
        <v>169.76</v>
      </c>
      <c r="S9" s="44">
        <f t="shared" si="7"/>
        <v>158.21407180335393</v>
      </c>
      <c r="U9" s="4" t="str">
        <f t="shared" si="8"/>
        <v>MSFT</v>
      </c>
      <c r="V9" s="5">
        <f t="shared" si="9"/>
        <v>0</v>
      </c>
      <c r="W9" s="5">
        <f t="shared" si="10"/>
        <v>1.0729766199999999</v>
      </c>
      <c r="X9" s="5">
        <f t="shared" si="11"/>
        <v>169.76</v>
      </c>
      <c r="Y9" s="76">
        <f t="shared" si="12"/>
        <v>158.21407180335393</v>
      </c>
    </row>
    <row r="10" spans="1:25" x14ac:dyDescent="0.3">
      <c r="A10" s="4" t="str">
        <f>IF('American Transactions'!A10 = "","",'American Transactions'!A10)</f>
        <v>RIO</v>
      </c>
      <c r="B10" s="5" t="str">
        <f>IF('American Transactions'!B10 = "","",'American Transactions'!B10)</f>
        <v>BUY</v>
      </c>
      <c r="C10" s="13">
        <f>IF('American Transactions'!C10 = "","", IF($B10 = "BUY", 'American Transactions'!C10,-'American Transactions'!C10))</f>
        <v>1</v>
      </c>
      <c r="D10" s="6">
        <f>IF('American Transactions'!D10 = "","",IF($B10 = "BUY", 'American Transactions'!D10,-'American Transactions'!D10))</f>
        <v>55.833500000000001</v>
      </c>
      <c r="E10" s="6">
        <f t="shared" si="0"/>
        <v>55.833500000000001</v>
      </c>
      <c r="F10" s="26"/>
      <c r="G10" s="5" t="str">
        <f t="shared" si="1"/>
        <v>RIO</v>
      </c>
      <c r="H10" s="5">
        <f>IF(A10="","",COUNTIF($G$2:G10,G10))</f>
        <v>1</v>
      </c>
      <c r="I10" s="5" t="str">
        <f t="shared" si="2"/>
        <v>RIO1</v>
      </c>
      <c r="J10" s="5">
        <f>IF(G10="","",IF(COUNTIF($G$2:G10,G10)&gt;1,SUMIF($A$2:A10,G10,$C$2:C10),C10))</f>
        <v>1</v>
      </c>
      <c r="K10" s="6">
        <f>IF(G10="","",IF(COUNTIF($G$2:G10,G10)&gt;1,SUMIF($A$2:A10,G10,$D$2:D10),D10) +SUMIF($G$2:G10,G10,$M$2:M10))</f>
        <v>55.833500000000001</v>
      </c>
      <c r="L10" s="6">
        <f t="shared" si="3"/>
        <v>55.833500000000001</v>
      </c>
      <c r="M10" s="31">
        <f>IF(G10="","",IF(B10 = "BUY", 0,(E10-VLOOKUP(CONCATENATE(G10,(H10-1)),$I$2:L9,4,FALSE))*-C10))</f>
        <v>0</v>
      </c>
      <c r="O10" s="40" t="str">
        <v>RIO</v>
      </c>
      <c r="P10" s="17">
        <f t="shared" si="4"/>
        <v>0</v>
      </c>
      <c r="Q10" s="17">
        <f t="shared" si="5"/>
        <v>1</v>
      </c>
      <c r="R10" s="17">
        <f t="shared" si="6"/>
        <v>55.833500000000001</v>
      </c>
      <c r="S10" s="44">
        <f t="shared" si="7"/>
        <v>55.833500000000001</v>
      </c>
      <c r="U10" s="4" t="str">
        <f t="shared" si="8"/>
        <v>RIO</v>
      </c>
      <c r="V10" s="5">
        <f t="shared" si="9"/>
        <v>0</v>
      </c>
      <c r="W10" s="5">
        <f t="shared" si="10"/>
        <v>1</v>
      </c>
      <c r="X10" s="5">
        <f t="shared" si="11"/>
        <v>55.833500000000001</v>
      </c>
      <c r="Y10" s="76">
        <f t="shared" si="12"/>
        <v>55.833500000000001</v>
      </c>
    </row>
    <row r="11" spans="1:25" x14ac:dyDescent="0.3">
      <c r="A11" s="4" t="str">
        <f>IF('American Transactions'!A11 = "","",'American Transactions'!A11)</f>
        <v>SLV</v>
      </c>
      <c r="B11" s="5" t="str">
        <f>IF('American Transactions'!B11 = "","",'American Transactions'!B11)</f>
        <v>BUY</v>
      </c>
      <c r="C11" s="13">
        <f>IF('American Transactions'!C11 = "","", IF($B11 = "BUY", 'American Transactions'!C11,-'American Transactions'!C11))</f>
        <v>1</v>
      </c>
      <c r="D11" s="6">
        <f>IF('American Transactions'!D11 = "","",IF($B11 = "BUY", 'American Transactions'!D11,-'American Transactions'!D11))</f>
        <v>16.41</v>
      </c>
      <c r="E11" s="6">
        <f t="shared" si="0"/>
        <v>16.41</v>
      </c>
      <c r="F11" s="26"/>
      <c r="G11" s="5" t="str">
        <f t="shared" si="1"/>
        <v>SLV</v>
      </c>
      <c r="H11" s="5">
        <f>IF(A11="","",COUNTIF($G$2:G11,G11))</f>
        <v>1</v>
      </c>
      <c r="I11" s="5" t="str">
        <f t="shared" si="2"/>
        <v>SLV1</v>
      </c>
      <c r="J11" s="5">
        <f>IF(G11="","",IF(COUNTIF($G$2:G11,G11)&gt;1,SUMIF($A$2:A11,G11,$C$2:C11),C11))</f>
        <v>1</v>
      </c>
      <c r="K11" s="6">
        <f>IF(G11="","",IF(COUNTIF($G$2:G11,G11)&gt;1,SUMIF($A$2:A11,G11,$D$2:D11),D11) +SUMIF($G$2:G11,G11,$M$2:M11))</f>
        <v>16.41</v>
      </c>
      <c r="L11" s="6">
        <f t="shared" si="3"/>
        <v>16.41</v>
      </c>
      <c r="M11" s="31">
        <f>IF(G11="","",IF(B11 = "BUY", 0,(E11-VLOOKUP(CONCATENATE(G11,(H11-1)),$I$2:L10,4,FALSE))*-C11))</f>
        <v>0</v>
      </c>
      <c r="O11" s="40" t="str">
        <v>SLV</v>
      </c>
      <c r="P11" s="17">
        <f t="shared" si="4"/>
        <v>-2.1400000000000006</v>
      </c>
      <c r="Q11" s="17">
        <f t="shared" si="5"/>
        <v>0</v>
      </c>
      <c r="R11" s="17">
        <f t="shared" si="6"/>
        <v>0</v>
      </c>
      <c r="S11" s="44">
        <f t="shared" si="7"/>
        <v>0</v>
      </c>
      <c r="U11" s="4" t="str">
        <f t="shared" si="8"/>
        <v/>
      </c>
      <c r="V11" s="5" t="str">
        <f t="shared" si="9"/>
        <v/>
      </c>
      <c r="W11" s="5" t="str">
        <f t="shared" si="10"/>
        <v/>
      </c>
      <c r="X11" s="5" t="str">
        <f t="shared" si="11"/>
        <v/>
      </c>
      <c r="Y11" s="76" t="str">
        <f t="shared" si="12"/>
        <v/>
      </c>
    </row>
    <row r="12" spans="1:25" x14ac:dyDescent="0.3">
      <c r="A12" s="4" t="str">
        <f>IF('American Transactions'!A12 = "","",'American Transactions'!A12)</f>
        <v>SQ</v>
      </c>
      <c r="B12" s="5" t="str">
        <f>IF('American Transactions'!B12 = "","",'American Transactions'!B12)</f>
        <v>BUY</v>
      </c>
      <c r="C12" s="13">
        <f>IF('American Transactions'!C12 = "","", IF($B12 = "BUY", 'American Transactions'!C12,-'American Transactions'!C12))</f>
        <v>0.79859999999999998</v>
      </c>
      <c r="D12" s="6">
        <f>IF('American Transactions'!D12 = "","",IF($B12 = "BUY", 'American Transactions'!D12,-'American Transactions'!D12))</f>
        <v>54.820399999999999</v>
      </c>
      <c r="E12" s="6">
        <f t="shared" si="0"/>
        <v>68.645629852241427</v>
      </c>
      <c r="F12" s="26"/>
      <c r="G12" s="5" t="str">
        <f t="shared" si="1"/>
        <v>SQ</v>
      </c>
      <c r="H12" s="5">
        <f>IF(A12="","",COUNTIF($G$2:G12,G12))</f>
        <v>1</v>
      </c>
      <c r="I12" s="5" t="str">
        <f t="shared" si="2"/>
        <v>SQ1</v>
      </c>
      <c r="J12" s="5">
        <f>IF(G12="","",IF(COUNTIF($G$2:G12,G12)&gt;1,SUMIF($A$2:A12,G12,$C$2:C12),C12))</f>
        <v>0.79859999999999998</v>
      </c>
      <c r="K12" s="6">
        <f>IF(G12="","",IF(COUNTIF($G$2:G12,G12)&gt;1,SUMIF($A$2:A12,G12,$D$2:D12),D12) +SUMIF($G$2:G12,G12,$M$2:M12))</f>
        <v>54.820399999999999</v>
      </c>
      <c r="L12" s="6">
        <f t="shared" si="3"/>
        <v>68.645629852241427</v>
      </c>
      <c r="M12" s="31">
        <f>IF(G12="","",IF(B12 = "BUY", 0,(E12-VLOOKUP(CONCATENATE(G12,(H12-1)),$I$2:L11,4,FALSE))*-C12))</f>
        <v>0</v>
      </c>
      <c r="O12" s="40" t="str">
        <v>SQ</v>
      </c>
      <c r="P12" s="17">
        <f t="shared" si="4"/>
        <v>0</v>
      </c>
      <c r="Q12" s="17">
        <f t="shared" si="5"/>
        <v>1.0056965</v>
      </c>
      <c r="R12" s="17">
        <f t="shared" si="6"/>
        <v>69.820400000000006</v>
      </c>
      <c r="S12" s="44">
        <f t="shared" si="7"/>
        <v>69.424920937877388</v>
      </c>
      <c r="U12" s="4" t="str">
        <f t="shared" si="8"/>
        <v>SQ</v>
      </c>
      <c r="V12" s="5">
        <f t="shared" si="9"/>
        <v>0</v>
      </c>
      <c r="W12" s="5">
        <f t="shared" si="10"/>
        <v>1.0056965</v>
      </c>
      <c r="X12" s="5">
        <f t="shared" si="11"/>
        <v>69.820400000000006</v>
      </c>
      <c r="Y12" s="76">
        <f t="shared" si="12"/>
        <v>69.424920937877388</v>
      </c>
    </row>
    <row r="13" spans="1:25" x14ac:dyDescent="0.3">
      <c r="A13" s="4" t="str">
        <f>IF('American Transactions'!A13 = "","",'American Transactions'!A13)</f>
        <v>TLT</v>
      </c>
      <c r="B13" s="5" t="str">
        <f>IF('American Transactions'!B13 = "","",'American Transactions'!B13)</f>
        <v>BUY</v>
      </c>
      <c r="C13" s="13">
        <f>IF('American Transactions'!C13 = "","", IF($B13 = "BUY", 'American Transactions'!C13,-'American Transactions'!C13))</f>
        <v>0.21049999999999999</v>
      </c>
      <c r="D13" s="6">
        <f>IF('American Transactions'!D13 = "","",IF($B13 = "BUY", 'American Transactions'!D13,-'American Transactions'!D13))</f>
        <v>30.4</v>
      </c>
      <c r="E13" s="6">
        <f t="shared" si="0"/>
        <v>144.41805225653206</v>
      </c>
      <c r="F13" s="26"/>
      <c r="G13" s="5" t="str">
        <f t="shared" si="1"/>
        <v>TLT</v>
      </c>
      <c r="H13" s="5">
        <f>IF(A13="","",COUNTIF($G$2:G13,G13))</f>
        <v>1</v>
      </c>
      <c r="I13" s="5" t="str">
        <f t="shared" si="2"/>
        <v>TLT1</v>
      </c>
      <c r="J13" s="5">
        <f>IF(G13="","",IF(COUNTIF($G$2:G13,G13)&gt;1,SUMIF($A$2:A13,G13,$C$2:C13),C13))</f>
        <v>0.21049999999999999</v>
      </c>
      <c r="K13" s="6">
        <f>IF(G13="","",IF(COUNTIF($G$2:G13,G13)&gt;1,SUMIF($A$2:A13,G13,$D$2:D13),D13) +SUMIF($G$2:G13,G13,$M$2:M13))</f>
        <v>30.4</v>
      </c>
      <c r="L13" s="6">
        <f t="shared" si="3"/>
        <v>144.41805225653206</v>
      </c>
      <c r="M13" s="31">
        <f>IF(G13="","",IF(B13 = "BUY", 0,(E13-VLOOKUP(CONCATENATE(G13,(H13-1)),$I$2:L12,4,FALSE))*-C13))</f>
        <v>0</v>
      </c>
      <c r="O13" s="40" t="str">
        <v>TLT</v>
      </c>
      <c r="P13" s="17">
        <f t="shared" si="4"/>
        <v>2.8499999999999996</v>
      </c>
      <c r="Q13" s="17">
        <f t="shared" si="5"/>
        <v>0</v>
      </c>
      <c r="R13" s="17">
        <f t="shared" si="6"/>
        <v>-1.7763568394002505E-15</v>
      </c>
      <c r="S13" s="44">
        <f t="shared" si="7"/>
        <v>0</v>
      </c>
      <c r="U13" s="4" t="str">
        <f t="shared" si="8"/>
        <v/>
      </c>
      <c r="V13" s="5" t="str">
        <f t="shared" si="9"/>
        <v/>
      </c>
      <c r="W13" s="5" t="str">
        <f t="shared" si="10"/>
        <v/>
      </c>
      <c r="X13" s="5" t="str">
        <f t="shared" si="11"/>
        <v/>
      </c>
      <c r="Y13" s="76" t="str">
        <f t="shared" si="12"/>
        <v/>
      </c>
    </row>
    <row r="14" spans="1:25" x14ac:dyDescent="0.3">
      <c r="A14" s="4" t="str">
        <f>IF('American Transactions'!A14 = "","",'American Transactions'!A14)</f>
        <v>VOO</v>
      </c>
      <c r="B14" s="5" t="str">
        <f>IF('American Transactions'!B14 = "","",'American Transactions'!B14)</f>
        <v>BUY</v>
      </c>
      <c r="C14" s="13">
        <f>IF('American Transactions'!C14 = "","", IF($B14 = "BUY", 'American Transactions'!C14,-'American Transactions'!C14))</f>
        <v>5.2200000000000003E-2</v>
      </c>
      <c r="D14" s="6">
        <f>IF('American Transactions'!D14 = "","",IF($B14 = "BUY", 'American Transactions'!D14,-'American Transactions'!D14))</f>
        <v>14.6107</v>
      </c>
      <c r="E14" s="6">
        <f t="shared" si="0"/>
        <v>279.89846743295016</v>
      </c>
      <c r="F14" s="26"/>
      <c r="G14" s="5" t="str">
        <f t="shared" si="1"/>
        <v>VOO</v>
      </c>
      <c r="H14" s="5">
        <f>IF(A14="","",COUNTIF($G$2:G14,G14))</f>
        <v>1</v>
      </c>
      <c r="I14" s="5" t="str">
        <f>_xlfn.CONCAT(G14,H14)</f>
        <v>VOO1</v>
      </c>
      <c r="J14" s="5">
        <f>IF(G14="","",IF(COUNTIF($G$2:G14,G14)&gt;1,SUMIF($A$2:A14,G14,$C$2:C14),C14))</f>
        <v>5.2200000000000003E-2</v>
      </c>
      <c r="K14" s="6">
        <f>IF(G14="","",IF(COUNTIF($G$2:G14,G14)&gt;1,SUMIF($A$2:A14,G14,$D$2:D14),D14) +SUMIF($G$2:G14,G14,$M$2:M14))</f>
        <v>14.6107</v>
      </c>
      <c r="L14" s="6">
        <f t="shared" si="3"/>
        <v>279.89846743295016</v>
      </c>
      <c r="M14" s="31">
        <f>IF(G14="","",IF(B14 = "BUY", 0,(E14-VLOOKUP(CONCATENATE(G14,(H14-1)),$I$2:L13,4,FALSE))*-C14))</f>
        <v>0</v>
      </c>
      <c r="O14" s="40" t="str">
        <v>VOO</v>
      </c>
      <c r="P14" s="17">
        <f t="shared" si="4"/>
        <v>-0.83051246802682055</v>
      </c>
      <c r="Q14" s="17">
        <f t="shared" si="5"/>
        <v>6.7000000000122517E-7</v>
      </c>
      <c r="R14" s="17">
        <f t="shared" si="6"/>
        <v>1.8753197317966652E-4</v>
      </c>
      <c r="S14" s="44">
        <f t="shared" si="7"/>
        <v>279.89846743182625</v>
      </c>
      <c r="U14" s="4" t="str">
        <f t="shared" si="8"/>
        <v/>
      </c>
      <c r="V14" s="5" t="str">
        <f t="shared" si="9"/>
        <v/>
      </c>
      <c r="W14" s="5" t="str">
        <f t="shared" si="10"/>
        <v/>
      </c>
      <c r="X14" s="5" t="str">
        <f t="shared" si="11"/>
        <v/>
      </c>
      <c r="Y14" s="76" t="str">
        <f t="shared" si="12"/>
        <v/>
      </c>
    </row>
    <row r="15" spans="1:25" x14ac:dyDescent="0.3">
      <c r="A15" s="4" t="str">
        <f>IF('American Transactions'!A15 = "","",'American Transactions'!A15)</f>
        <v>JPM</v>
      </c>
      <c r="B15" s="5" t="str">
        <f>IF('American Transactions'!B15 = "","",'American Transactions'!B15)</f>
        <v>SELL</v>
      </c>
      <c r="C15" s="13">
        <f>IF('American Transactions'!C15 = "","", IF($B15 = "BUY", 'American Transactions'!C15,-'American Transactions'!C15))</f>
        <v>-0.21574826</v>
      </c>
      <c r="D15" s="6">
        <f>IF('American Transactions'!D15 = "","",IF($B15 = "BUY", 'American Transactions'!D15,-'American Transactions'!D15))</f>
        <v>-19.66</v>
      </c>
      <c r="E15" s="6">
        <f t="shared" si="0"/>
        <v>91.12472100586119</v>
      </c>
      <c r="F15" s="26"/>
      <c r="G15" s="5" t="str">
        <f t="shared" si="1"/>
        <v>JPM</v>
      </c>
      <c r="H15" s="5">
        <f>IF(A15="","",COUNTIF($G$2:G15,G15))</f>
        <v>2</v>
      </c>
      <c r="I15" s="5" t="str">
        <f t="shared" ref="I15:I51" si="13">_xlfn.CONCAT(G15,H15)</f>
        <v>JPM2</v>
      </c>
      <c r="J15" s="5">
        <f>IF(G15="","",IF(COUNTIF($G$2:G15,G15)&gt;1,SUMIF($A$2:A15,G15,$C$2:C15),C15))</f>
        <v>-4.8259999999994418E-5</v>
      </c>
      <c r="K15" s="6">
        <f>IF(G15="","",IF(COUNTIF($G$2:G15,G15)&gt;1,SUMIF($A$2:A15,G15,$D$2:D15),D15) +SUMIF($G$2:G15,G15,$M$2:M15))</f>
        <v>-5.593416782565086E-3</v>
      </c>
      <c r="L15" s="6">
        <f t="shared" si="3"/>
        <v>115.90171534533222</v>
      </c>
      <c r="M15" s="31">
        <f>IF(G15="","",IF(B15 = "BUY", 0,(E15-VLOOKUP(CONCATENATE(G15,(H15-1)),$I$2:L14,4,FALSE))*-C15))</f>
        <v>-5.3455934167825649</v>
      </c>
      <c r="O15" s="40" t="str">
        <v/>
      </c>
      <c r="P15" s="17" t="str">
        <f t="shared" si="4"/>
        <v/>
      </c>
      <c r="Q15" s="17" t="str">
        <f t="shared" si="5"/>
        <v/>
      </c>
      <c r="R15" s="17" t="str">
        <f t="shared" si="6"/>
        <v/>
      </c>
      <c r="S15" s="44" t="str">
        <f t="shared" si="7"/>
        <v/>
      </c>
      <c r="U15" s="4" t="str">
        <f t="shared" si="8"/>
        <v/>
      </c>
      <c r="V15" s="5" t="str">
        <f t="shared" si="9"/>
        <v/>
      </c>
      <c r="W15" s="5" t="str">
        <f t="shared" si="10"/>
        <v/>
      </c>
      <c r="X15" s="5" t="str">
        <f t="shared" si="11"/>
        <v/>
      </c>
      <c r="Y15" s="76" t="str">
        <f t="shared" si="12"/>
        <v/>
      </c>
    </row>
    <row r="16" spans="1:25" x14ac:dyDescent="0.3">
      <c r="A16" s="4" t="str">
        <f>IF('American Transactions'!A16 = "","",'American Transactions'!A16)</f>
        <v>GOOGL</v>
      </c>
      <c r="B16" s="5" t="str">
        <f>IF('American Transactions'!B16 = "","",'American Transactions'!B16)</f>
        <v>BUY</v>
      </c>
      <c r="C16" s="13">
        <f>IF('American Transactions'!C16 = "","", IF($B16 = "BUY", 'American Transactions'!C16,-'American Transactions'!C16))</f>
        <v>1.8747159999999999E-2</v>
      </c>
      <c r="D16" s="6">
        <f>IF('American Transactions'!D16 = "","",IF($B16 = "BUY", 'American Transactions'!D16,-'American Transactions'!D16))</f>
        <v>23.93</v>
      </c>
      <c r="E16" s="6">
        <f t="shared" si="0"/>
        <v>1276.4600078091828</v>
      </c>
      <c r="F16" s="26"/>
      <c r="G16" s="5" t="str">
        <f t="shared" si="1"/>
        <v>GOOGL</v>
      </c>
      <c r="H16" s="5">
        <f>IF(A16="","",COUNTIF($G$2:G16,G16))</f>
        <v>2</v>
      </c>
      <c r="I16" s="5" t="str">
        <f t="shared" si="13"/>
        <v>GOOGL2</v>
      </c>
      <c r="J16" s="5">
        <f>IF(G16="","",IF(COUNTIF($G$2:G16,G16)&gt;1,SUMIF($A$2:A16,G16,$C$2:C16),C16))</f>
        <v>0.14734715999999998</v>
      </c>
      <c r="K16" s="6">
        <f>IF(G16="","",IF(COUNTIF($G$2:G16,G16)&gt;1,SUMIF($A$2:A16,G16,$D$2:D16),D16) +SUMIF($G$2:G16,G16,$M$2:M16))</f>
        <v>193.92000000000002</v>
      </c>
      <c r="L16" s="6">
        <f t="shared" si="3"/>
        <v>1316.0755863906711</v>
      </c>
      <c r="M16" s="31">
        <f>IF(G16="","",IF(B16 = "BUY", 0,(E16-VLOOKUP(CONCATENATE(G16,(H16-1)),$I$2:L15,4,FALSE))*-C16))</f>
        <v>0</v>
      </c>
      <c r="O16" s="40"/>
      <c r="P16" s="17" t="str">
        <f t="shared" si="4"/>
        <v/>
      </c>
      <c r="Q16" s="17" t="str">
        <f t="shared" si="5"/>
        <v/>
      </c>
      <c r="R16" s="17" t="str">
        <f t="shared" si="6"/>
        <v/>
      </c>
      <c r="S16" s="44" t="str">
        <f t="shared" si="7"/>
        <v/>
      </c>
      <c r="U16" s="4" t="str">
        <f t="shared" si="8"/>
        <v/>
      </c>
      <c r="V16" s="5" t="str">
        <f t="shared" si="9"/>
        <v/>
      </c>
      <c r="W16" s="5" t="str">
        <f t="shared" si="10"/>
        <v/>
      </c>
      <c r="X16" s="5" t="str">
        <f t="shared" si="11"/>
        <v/>
      </c>
      <c r="Y16" s="76" t="str">
        <f t="shared" si="12"/>
        <v/>
      </c>
    </row>
    <row r="17" spans="1:25" x14ac:dyDescent="0.3">
      <c r="A17" s="4" t="str">
        <f>IF('American Transactions'!A17 = "","",'American Transactions'!A17)</f>
        <v>AAAU</v>
      </c>
      <c r="B17" s="5" t="str">
        <f>IF('American Transactions'!B17 = "","",'American Transactions'!B17)</f>
        <v>SELL</v>
      </c>
      <c r="C17" s="13">
        <f>IF('American Transactions'!C17 = "","", IF($B17 = "BUY", 'American Transactions'!C17,-'American Transactions'!C17))</f>
        <v>-0.67204301</v>
      </c>
      <c r="D17" s="6">
        <f>IF('American Transactions'!D17 = "","",IF($B17 = "BUY", 'American Transactions'!D17,-'American Transactions'!D17))</f>
        <v>-11.51</v>
      </c>
      <c r="E17" s="6">
        <f t="shared" si="0"/>
        <v>17.126880019182106</v>
      </c>
      <c r="F17" s="26"/>
      <c r="G17" s="5" t="str">
        <f t="shared" si="1"/>
        <v>AAAU</v>
      </c>
      <c r="H17" s="5">
        <f>IF(A17="","",COUNTIF($G$2:G17,G17))</f>
        <v>2</v>
      </c>
      <c r="I17" s="5" t="str">
        <f t="shared" si="13"/>
        <v>AAAU2</v>
      </c>
      <c r="J17" s="5">
        <f>IF(G17="","",IF(COUNTIF($G$2:G17,G17)&gt;1,SUMIF($A$2:A17,G17,$C$2:C17),C17))</f>
        <v>-4.3009999999954474E-5</v>
      </c>
      <c r="K17" s="6">
        <f>IF(G17="","",IF(COUNTIF($G$2:G17,G17)&gt;1,SUMIF($A$2:A17,G17,$D$2:D17),D17) +SUMIF($G$2:G17,G17,$M$2:M17))</f>
        <v>-6.4002976190313809E-4</v>
      </c>
      <c r="L17" s="6">
        <f t="shared" si="3"/>
        <v>14.880952380930378</v>
      </c>
      <c r="M17" s="31">
        <f>IF(G17="","",IF(B17 = "BUY", 0,(E17-VLOOKUP(CONCATENATE(G17,(H17-1)),$I$2:L16,4,FALSE))*-C17))</f>
        <v>1.5093599702380966</v>
      </c>
      <c r="O17" s="40"/>
      <c r="P17" s="17" t="str">
        <f t="shared" si="4"/>
        <v/>
      </c>
      <c r="Q17" s="17" t="str">
        <f t="shared" si="5"/>
        <v/>
      </c>
      <c r="R17" s="17" t="str">
        <f t="shared" si="6"/>
        <v/>
      </c>
      <c r="S17" s="44" t="str">
        <f t="shared" si="7"/>
        <v/>
      </c>
      <c r="U17" s="4" t="str">
        <f t="shared" si="8"/>
        <v/>
      </c>
      <c r="V17" s="5" t="str">
        <f t="shared" si="9"/>
        <v/>
      </c>
      <c r="W17" s="5" t="str">
        <f t="shared" si="10"/>
        <v/>
      </c>
      <c r="X17" s="5" t="str">
        <f t="shared" si="11"/>
        <v/>
      </c>
      <c r="Y17" s="76" t="str">
        <f t="shared" si="12"/>
        <v/>
      </c>
    </row>
    <row r="18" spans="1:25" x14ac:dyDescent="0.3">
      <c r="A18" s="4" t="str">
        <f>IF('American Transactions'!A18 = "","",'American Transactions'!A18)</f>
        <v>VOO</v>
      </c>
      <c r="B18" s="5" t="str">
        <f>IF('American Transactions'!B18 = "","",'American Transactions'!B18)</f>
        <v>SELL</v>
      </c>
      <c r="C18" s="13">
        <f>IF('American Transactions'!C18 = "","", IF($B18 = "BUY", 'American Transactions'!C18,-'American Transactions'!C18))</f>
        <v>-5.2199330000000002E-2</v>
      </c>
      <c r="D18" s="6">
        <f>IF('American Transactions'!D18 = "","",IF($B18 = "BUY", 'American Transactions'!D18,-'American Transactions'!D18))</f>
        <v>-13.78</v>
      </c>
      <c r="E18" s="6">
        <f t="shared" si="0"/>
        <v>263.98806268203055</v>
      </c>
      <c r="F18" s="26"/>
      <c r="G18" s="5" t="str">
        <f t="shared" si="1"/>
        <v>VOO</v>
      </c>
      <c r="H18" s="5">
        <f>IF(A18="","",COUNTIF($G$2:G18,G18))</f>
        <v>2</v>
      </c>
      <c r="I18" s="5" t="str">
        <f t="shared" si="13"/>
        <v>VOO2</v>
      </c>
      <c r="J18" s="5">
        <f>IF(G18="","",IF(COUNTIF($G$2:G18,G18)&gt;1,SUMIF($A$2:A18,G18,$C$2:C18),C18))</f>
        <v>6.7000000000122517E-7</v>
      </c>
      <c r="K18" s="6">
        <f>IF(G18="","",IF(COUNTIF($G$2:G18,G18)&gt;1,SUMIF($A$2:A18,G18,$D$2:D18),D18) +SUMIF($G$2:G18,G18,$M$2:M18))</f>
        <v>1.8753197317966652E-4</v>
      </c>
      <c r="L18" s="6">
        <f t="shared" si="3"/>
        <v>279.89846743182625</v>
      </c>
      <c r="M18" s="31">
        <f>IF(G18="","",IF(B18 = "BUY", 0,(E18-VLOOKUP(CONCATENATE(G18,(H18-1)),$I$2:L17,4,FALSE))*-C18))</f>
        <v>-0.83051246802682055</v>
      </c>
      <c r="O18" s="40"/>
      <c r="P18" s="17" t="str">
        <f t="shared" si="4"/>
        <v/>
      </c>
      <c r="Q18" s="17" t="str">
        <f t="shared" si="5"/>
        <v/>
      </c>
      <c r="R18" s="17" t="str">
        <f t="shared" si="6"/>
        <v/>
      </c>
      <c r="S18" s="44" t="str">
        <f t="shared" si="7"/>
        <v/>
      </c>
      <c r="U18" s="4" t="str">
        <f t="shared" si="8"/>
        <v/>
      </c>
      <c r="V18" s="5" t="str">
        <f t="shared" si="9"/>
        <v/>
      </c>
      <c r="W18" s="5" t="str">
        <f t="shared" si="10"/>
        <v/>
      </c>
      <c r="X18" s="5" t="str">
        <f t="shared" si="11"/>
        <v/>
      </c>
      <c r="Y18" s="76" t="str">
        <f t="shared" si="12"/>
        <v/>
      </c>
    </row>
    <row r="19" spans="1:25" x14ac:dyDescent="0.3">
      <c r="A19" s="4" t="str">
        <f>IF('American Transactions'!A19 = "","",'American Transactions'!A19)</f>
        <v>SLV</v>
      </c>
      <c r="B19" s="5" t="str">
        <f>IF('American Transactions'!B19 = "","",'American Transactions'!B19)</f>
        <v>SELL</v>
      </c>
      <c r="C19" s="13">
        <f>IF('American Transactions'!C19 = "","", IF($B19 = "BUY", 'American Transactions'!C19,-'American Transactions'!C19))</f>
        <v>-1</v>
      </c>
      <c r="D19" s="6">
        <f>IF('American Transactions'!D19 = "","",IF($B19 = "BUY", 'American Transactions'!D19,-'American Transactions'!D19))</f>
        <v>-14.27</v>
      </c>
      <c r="E19" s="6">
        <f t="shared" si="0"/>
        <v>14.27</v>
      </c>
      <c r="F19" s="26"/>
      <c r="G19" s="5" t="str">
        <f t="shared" si="1"/>
        <v>SLV</v>
      </c>
      <c r="H19" s="5">
        <f>IF(A19="","",COUNTIF($G$2:G19,G19))</f>
        <v>2</v>
      </c>
      <c r="I19" s="5" t="str">
        <f t="shared" si="13"/>
        <v>SLV2</v>
      </c>
      <c r="J19" s="5">
        <f>IF(G19="","",IF(COUNTIF($G$2:G19,G19)&gt;1,SUMIF($A$2:A19,G19,$C$2:C19),C19))</f>
        <v>0</v>
      </c>
      <c r="K19" s="6">
        <f>IF(G19="","",IF(COUNTIF($G$2:G19,G19)&gt;1,SUMIF($A$2:A19,G19,$D$2:D19),D19) +SUMIF($G$2:G19,G19,$M$2:M19))</f>
        <v>0</v>
      </c>
      <c r="L19" s="6">
        <f t="shared" si="3"/>
        <v>0</v>
      </c>
      <c r="M19" s="31">
        <f>IF(G19="","",IF(B19 = "BUY", 0,(E19-VLOOKUP(CONCATENATE(G19,(H19-1)),$I$2:L18,4,FALSE))*-C19))</f>
        <v>-2.1400000000000006</v>
      </c>
      <c r="O19" s="40"/>
      <c r="P19" s="17" t="str">
        <f t="shared" si="4"/>
        <v/>
      </c>
      <c r="Q19" s="17" t="str">
        <f t="shared" si="5"/>
        <v/>
      </c>
      <c r="R19" s="17" t="str">
        <f t="shared" si="6"/>
        <v/>
      </c>
      <c r="S19" s="44" t="str">
        <f t="shared" si="7"/>
        <v/>
      </c>
      <c r="U19" s="4" t="str">
        <f t="shared" si="8"/>
        <v/>
      </c>
      <c r="V19" s="5" t="str">
        <f t="shared" si="9"/>
        <v/>
      </c>
      <c r="W19" s="5" t="str">
        <f t="shared" si="10"/>
        <v/>
      </c>
      <c r="X19" s="5" t="str">
        <f t="shared" si="11"/>
        <v/>
      </c>
      <c r="Y19" s="76" t="str">
        <f t="shared" si="12"/>
        <v/>
      </c>
    </row>
    <row r="20" spans="1:25" x14ac:dyDescent="0.3">
      <c r="A20" s="4" t="str">
        <f>IF('American Transactions'!A20 = "","",'American Transactions'!A20)</f>
        <v>MSFT</v>
      </c>
      <c r="B20" s="5" t="str">
        <f>IF('American Transactions'!B20 = "","",'American Transactions'!B20)</f>
        <v>BUY</v>
      </c>
      <c r="C20" s="13">
        <f>IF('American Transactions'!C20 = "","", IF($B20 = "BUY", 'American Transactions'!C20,-'American Transactions'!C20))</f>
        <v>7.1376620000000002E-2</v>
      </c>
      <c r="D20" s="6">
        <f>IF('American Transactions'!D20 = "","",IF($B20 = "BUY", 'American Transactions'!D20,-'American Transactions'!D20))</f>
        <v>12.76</v>
      </c>
      <c r="E20" s="6">
        <f t="shared" si="0"/>
        <v>178.77002301313792</v>
      </c>
      <c r="F20" s="26"/>
      <c r="G20" s="5" t="str">
        <f t="shared" si="1"/>
        <v>MSFT</v>
      </c>
      <c r="H20" s="5">
        <f>IF(A20="","",COUNTIF($G$2:G20,G20))</f>
        <v>2</v>
      </c>
      <c r="I20" s="5" t="str">
        <f t="shared" si="13"/>
        <v>MSFT2</v>
      </c>
      <c r="J20" s="5">
        <f>IF(G20="","",IF(COUNTIF($G$2:G20,G20)&gt;1,SUMIF($A$2:A20,G20,$C$2:C20),C20))</f>
        <v>1.0729766199999999</v>
      </c>
      <c r="K20" s="6">
        <f>IF(G20="","",IF(COUNTIF($G$2:G20,G20)&gt;1,SUMIF($A$2:A20,G20,$D$2:D20),D20) +SUMIF($G$2:G20,G20,$M$2:M20))</f>
        <v>169.76</v>
      </c>
      <c r="L20" s="6">
        <f t="shared" si="3"/>
        <v>158.21407180335393</v>
      </c>
      <c r="M20" s="31">
        <f>IF(G20="","",IF(B20 = "BUY", 0,(E20-VLOOKUP(CONCATENATE(G20,(H20-1)),$I$2:L19,4,FALSE))*-C20))</f>
        <v>0</v>
      </c>
      <c r="O20" s="40"/>
      <c r="P20" s="17" t="str">
        <f t="shared" si="4"/>
        <v/>
      </c>
      <c r="Q20" s="17" t="str">
        <f t="shared" si="5"/>
        <v/>
      </c>
      <c r="R20" s="17" t="str">
        <f t="shared" si="6"/>
        <v/>
      </c>
      <c r="S20" s="44" t="str">
        <f t="shared" si="7"/>
        <v/>
      </c>
      <c r="U20" s="4" t="str">
        <f t="shared" si="8"/>
        <v/>
      </c>
      <c r="V20" s="5" t="str">
        <f t="shared" si="9"/>
        <v/>
      </c>
      <c r="W20" s="5" t="str">
        <f t="shared" si="10"/>
        <v/>
      </c>
      <c r="X20" s="5" t="str">
        <f t="shared" si="11"/>
        <v/>
      </c>
      <c r="Y20" s="76" t="str">
        <f t="shared" si="12"/>
        <v/>
      </c>
    </row>
    <row r="21" spans="1:25" ht="15" thickBot="1" x14ac:dyDescent="0.35">
      <c r="A21" s="4" t="str">
        <f>IF('American Transactions'!A21 = "","",'American Transactions'!A21)</f>
        <v>AAPL</v>
      </c>
      <c r="B21" s="5" t="str">
        <f>IF('American Transactions'!B21 = "","",'American Transactions'!B21)</f>
        <v>BUY</v>
      </c>
      <c r="C21" s="13">
        <f>IF('American Transactions'!C21 = "","", IF($B21 = "BUY", 'American Transactions'!C21,-'American Transactions'!C21))</f>
        <v>3.9288869999999997E-2</v>
      </c>
      <c r="D21" s="6">
        <f>IF('American Transactions'!D21 = "","",IF($B21 = "BUY", 'American Transactions'!D21,-'American Transactions'!D21))</f>
        <v>12</v>
      </c>
      <c r="E21" s="6">
        <f t="shared" si="0"/>
        <v>305.43001109474517</v>
      </c>
      <c r="F21" s="26"/>
      <c r="G21" s="5" t="str">
        <f t="shared" si="1"/>
        <v>AAPL</v>
      </c>
      <c r="H21" s="5">
        <f>IF(A21="","",COUNTIF($G$2:G21,G21))</f>
        <v>2</v>
      </c>
      <c r="I21" s="5" t="str">
        <f t="shared" si="13"/>
        <v>AAPL2</v>
      </c>
      <c r="J21" s="5">
        <f>IF(G21="","",IF(COUNTIF($G$2:G21,G21)&gt;1,SUMIF($A$2:A21,G21,$C$2:C21),C21))</f>
        <v>0.58768887000000003</v>
      </c>
      <c r="K21" s="6">
        <f>IF(G21="","",IF(COUNTIF($G$2:G21,G21)&gt;1,SUMIF($A$2:A21,G21,$D$2:D21),D21) +SUMIF($G$2:G21,G21,$M$2:M21))</f>
        <v>167</v>
      </c>
      <c r="L21" s="6">
        <f t="shared" si="3"/>
        <v>284.1639658753449</v>
      </c>
      <c r="M21" s="31">
        <f>IF(G21="","",IF(B21 = "BUY", 0,(E21-VLOOKUP(CONCATENATE(G21,(H21-1)),$I$2:L20,4,FALSE))*-C21))</f>
        <v>0</v>
      </c>
      <c r="O21" s="41"/>
      <c r="P21" s="42" t="str">
        <f t="shared" si="4"/>
        <v/>
      </c>
      <c r="Q21" s="42" t="str">
        <f t="shared" si="5"/>
        <v/>
      </c>
      <c r="R21" s="42" t="str">
        <f t="shared" si="6"/>
        <v/>
      </c>
      <c r="S21" s="45" t="str">
        <f t="shared" si="7"/>
        <v/>
      </c>
      <c r="U21" s="7" t="str">
        <f t="shared" si="8"/>
        <v/>
      </c>
      <c r="V21" s="8" t="str">
        <f t="shared" si="9"/>
        <v/>
      </c>
      <c r="W21" s="8" t="str">
        <f t="shared" si="10"/>
        <v/>
      </c>
      <c r="X21" s="8" t="str">
        <f t="shared" si="11"/>
        <v/>
      </c>
      <c r="Y21" s="77" t="str">
        <f t="shared" si="12"/>
        <v/>
      </c>
    </row>
    <row r="22" spans="1:25" x14ac:dyDescent="0.3">
      <c r="A22" s="4" t="str">
        <f>IF('American Transactions'!A22 = "","",'American Transactions'!A22)</f>
        <v>SQ</v>
      </c>
      <c r="B22" s="5" t="str">
        <f>IF('American Transactions'!B22 = "","",'American Transactions'!B22)</f>
        <v>BUY</v>
      </c>
      <c r="C22" s="13">
        <f>IF('American Transactions'!C22 = "","", IF($B22 = "BUY", 'American Transactions'!C22,-'American Transactions'!C22))</f>
        <v>0.20709649999999999</v>
      </c>
      <c r="D22" s="6">
        <f>IF('American Transactions'!D22 = "","",IF($B22 = "BUY", 'American Transactions'!D22,-'American Transactions'!D22))</f>
        <v>15</v>
      </c>
      <c r="E22" s="6">
        <f t="shared" si="0"/>
        <v>72.430002438476748</v>
      </c>
      <c r="F22" s="26"/>
      <c r="G22" s="5" t="str">
        <f t="shared" si="1"/>
        <v>SQ</v>
      </c>
      <c r="H22" s="5">
        <f>IF(A22="","",COUNTIF($G$2:G22,G22))</f>
        <v>2</v>
      </c>
      <c r="I22" s="5" t="str">
        <f t="shared" si="13"/>
        <v>SQ2</v>
      </c>
      <c r="J22" s="5">
        <f>IF(G22="","",IF(COUNTIF($G$2:G22,G22)&gt;1,SUMIF($A$2:A22,G22,$C$2:C22),C22))</f>
        <v>1.0056965</v>
      </c>
      <c r="K22" s="6">
        <f>IF(G22="","",IF(COUNTIF($G$2:G22,G22)&gt;1,SUMIF($A$2:A22,G22,$D$2:D22),D22) +SUMIF($G$2:G22,G22,$M$2:M22))</f>
        <v>69.820400000000006</v>
      </c>
      <c r="L22" s="6">
        <f t="shared" si="3"/>
        <v>69.424920937877388</v>
      </c>
      <c r="M22" s="31">
        <f>IF(G22="","",IF(B22 = "BUY", 0,(E22-VLOOKUP(CONCATENATE(G22,(H22-1)),$I$2:L21,4,FALSE))*-C22))</f>
        <v>0</v>
      </c>
      <c r="P22" t="str">
        <f t="shared" ref="P22:P42" si="14">IF(O22="","",SUMIF($G$2:$G$51,O22,$M$2:$M$51))</f>
        <v/>
      </c>
    </row>
    <row r="23" spans="1:25" x14ac:dyDescent="0.3">
      <c r="A23" s="4" t="str">
        <f>IF('American Transactions'!A23 = "","",'American Transactions'!A23)</f>
        <v>TLT</v>
      </c>
      <c r="B23" s="5" t="str">
        <f>IF('American Transactions'!B23 = "","",'American Transactions'!B23)</f>
        <v>SELL</v>
      </c>
      <c r="C23" s="13">
        <f>IF('American Transactions'!C23 = "","", IF($B23 = "BUY", 'American Transactions'!C23,-'American Transactions'!C23))</f>
        <v>-0.21049999999999999</v>
      </c>
      <c r="D23" s="6">
        <f>IF('American Transactions'!D23 = "","",IF($B23 = "BUY", 'American Transactions'!D23,-'American Transactions'!D23))</f>
        <v>-33.25</v>
      </c>
      <c r="E23" s="6">
        <f t="shared" si="0"/>
        <v>157.95724465558195</v>
      </c>
      <c r="F23" s="26"/>
      <c r="G23" s="5" t="str">
        <f t="shared" si="1"/>
        <v>TLT</v>
      </c>
      <c r="H23" s="5">
        <f>IF(A23="","",COUNTIF($G$2:G23,G23))</f>
        <v>2</v>
      </c>
      <c r="I23" s="5" t="str">
        <f t="shared" si="13"/>
        <v>TLT2</v>
      </c>
      <c r="J23" s="5">
        <f>IF(G23="","",IF(COUNTIF($G$2:G23,G23)&gt;1,SUMIF($A$2:A23,G23,$C$2:C23),C23))</f>
        <v>0</v>
      </c>
      <c r="K23" s="6">
        <f>IF(G23="","",IF(COUNTIF($G$2:G23,G23)&gt;1,SUMIF($A$2:A23,G23,$D$2:D23),D23) +SUMIF($G$2:G23,G23,$M$2:M23))</f>
        <v>-1.7763568394002505E-15</v>
      </c>
      <c r="L23" s="6">
        <f t="shared" si="3"/>
        <v>0</v>
      </c>
      <c r="M23" s="31">
        <f>IF(G23="","",IF(B23 = "BUY", 0,(E23-VLOOKUP(CONCATENATE(G23,(H23-1)),$I$2:L22,4,FALSE))*-C23))</f>
        <v>2.8499999999999996</v>
      </c>
      <c r="P23" t="str">
        <f t="shared" si="14"/>
        <v/>
      </c>
    </row>
    <row r="24" spans="1:25" x14ac:dyDescent="0.3">
      <c r="A24" s="4" t="str">
        <f>IF('American Transactions'!A24 = "","",'American Transactions'!A24)</f>
        <v/>
      </c>
      <c r="B24" s="5" t="str">
        <f>IF('American Transactions'!B24 = "","",'American Transactions'!B24)</f>
        <v/>
      </c>
      <c r="C24" s="13" t="str">
        <f>IF('American Transactions'!C24 = "","", IF($B24 = "BUY", 'American Transactions'!C24,-'American Transactions'!C24))</f>
        <v/>
      </c>
      <c r="D24" s="6" t="str">
        <f>IF('American Transactions'!D24 = "","",IF($B24 = "BUY", 'American Transactions'!D24,-'American Transactions'!D24))</f>
        <v/>
      </c>
      <c r="E24" s="6" t="str">
        <f t="shared" si="0"/>
        <v/>
      </c>
      <c r="F24" s="26"/>
      <c r="G24" s="5" t="str">
        <f t="shared" si="1"/>
        <v/>
      </c>
      <c r="H24" s="5" t="str">
        <f>IF(A24="","",COUNTIF($G$2:G24,G24))</f>
        <v/>
      </c>
      <c r="I24" s="5" t="str">
        <f t="shared" si="13"/>
        <v/>
      </c>
      <c r="J24" s="5" t="str">
        <f>IF(G24="","",IF(COUNTIF($G$2:G24,G24)&gt;1,SUMIF($A$2:A24,G24,$C$2:C24),C24))</f>
        <v/>
      </c>
      <c r="K24" s="6" t="str">
        <f>IF(G24="","",IF(COUNTIF($G$2:G24,G24)&gt;1,SUMIF($A$2:A24,G24,$D$2:D24),D24) +SUMIF($G$2:G24,G24,$M$2:M24))</f>
        <v/>
      </c>
      <c r="L24" s="6" t="str">
        <f t="shared" si="3"/>
        <v/>
      </c>
      <c r="M24" s="31" t="str">
        <f>IF(G24="","",IF(B24 = "BUY", 0,(E24-VLOOKUP(CONCATENATE(G24,(H24-1)),$I$2:L23,4,FALSE))*-C24))</f>
        <v/>
      </c>
      <c r="P24" t="str">
        <f t="shared" si="14"/>
        <v/>
      </c>
    </row>
    <row r="25" spans="1:25" x14ac:dyDescent="0.3">
      <c r="A25" s="4" t="str">
        <f>IF('American Transactions'!A25 = "","",'American Transactions'!A25)</f>
        <v/>
      </c>
      <c r="B25" s="5" t="str">
        <f>IF('American Transactions'!B25 = "","",'American Transactions'!B25)</f>
        <v/>
      </c>
      <c r="C25" s="13" t="str">
        <f>IF('American Transactions'!C25 = "","", IF($B25 = "BUY", 'American Transactions'!C25,-'American Transactions'!C25))</f>
        <v/>
      </c>
      <c r="D25" s="6" t="str">
        <f>IF('American Transactions'!D25 = "","",IF($B25 = "BUY", 'American Transactions'!D25,-'American Transactions'!D25))</f>
        <v/>
      </c>
      <c r="E25" s="6" t="str">
        <f t="shared" si="0"/>
        <v/>
      </c>
      <c r="F25" s="26"/>
      <c r="G25" s="5" t="str">
        <f t="shared" si="1"/>
        <v/>
      </c>
      <c r="H25" s="5" t="str">
        <f>IF(A25="","",COUNTIF($G$2:G25,G25))</f>
        <v/>
      </c>
      <c r="I25" s="5" t="str">
        <f t="shared" si="13"/>
        <v/>
      </c>
      <c r="J25" s="5" t="str">
        <f>IF(G25="","",IF(COUNTIF($G$2:G25,G25)&gt;1,SUMIF($A$2:A25,G25,$C$2:C25),C25))</f>
        <v/>
      </c>
      <c r="K25" s="6" t="str">
        <f>IF(G25="","",IF(COUNTIF($G$2:G25,G25)&gt;1,SUMIF($A$2:A25,G25,$D$2:D25),D25) +SUMIF($G$2:G25,G25,$M$2:M25))</f>
        <v/>
      </c>
      <c r="L25" s="6" t="str">
        <f t="shared" si="3"/>
        <v/>
      </c>
      <c r="M25" s="31" t="str">
        <f>IF(G25="","",IF(B25 = "BUY", 0,(E25-VLOOKUP(CONCATENATE(G25,(H25-1)),$I$2:L24,4,FALSE))*-C25))</f>
        <v/>
      </c>
      <c r="P25" t="str">
        <f t="shared" si="14"/>
        <v/>
      </c>
    </row>
    <row r="26" spans="1:25" x14ac:dyDescent="0.3">
      <c r="A26" s="4" t="str">
        <f>IF('American Transactions'!A26 = "","",'American Transactions'!A26)</f>
        <v/>
      </c>
      <c r="B26" s="5" t="str">
        <f>IF('American Transactions'!B26 = "","",'American Transactions'!B26)</f>
        <v/>
      </c>
      <c r="C26" s="13" t="str">
        <f>IF('American Transactions'!C26 = "","", IF($B26 = "BUY", 'American Transactions'!C26,-'American Transactions'!C26))</f>
        <v/>
      </c>
      <c r="D26" s="6" t="str">
        <f>IF('American Transactions'!D26 = "","",IF($B26 = "BUY", 'American Transactions'!D26,-'American Transactions'!D26))</f>
        <v/>
      </c>
      <c r="E26" s="6" t="str">
        <f t="shared" si="0"/>
        <v/>
      </c>
      <c r="F26" s="26"/>
      <c r="G26" s="5" t="str">
        <f t="shared" si="1"/>
        <v/>
      </c>
      <c r="H26" s="5" t="str">
        <f>IF(A26="","",COUNTIF($G$2:G26,G26))</f>
        <v/>
      </c>
      <c r="I26" s="5" t="str">
        <f t="shared" si="13"/>
        <v/>
      </c>
      <c r="J26" s="5" t="str">
        <f>IF(G26="","",IF(COUNTIF($G$2:G26,G26)&gt;1,SUMIF($A$2:A26,G26,$C$2:C26),C26))</f>
        <v/>
      </c>
      <c r="K26" s="6" t="str">
        <f>IF(G26="","",IF(COUNTIF($G$2:G26,G26)&gt;1,SUMIF($A$2:A26,G26,$D$2:D26),D26) +SUMIF($G$2:G26,G26,$M$2:M26))</f>
        <v/>
      </c>
      <c r="L26" s="6" t="str">
        <f t="shared" si="3"/>
        <v/>
      </c>
      <c r="M26" s="31" t="str">
        <f>IF(G26="","",IF(B26 = "BUY", 0,(E26-VLOOKUP(CONCATENATE(G26,(H26-1)),$I$2:L25,4,FALSE))*-C26))</f>
        <v/>
      </c>
      <c r="P26" t="str">
        <f t="shared" si="14"/>
        <v/>
      </c>
    </row>
    <row r="27" spans="1:25" x14ac:dyDescent="0.3">
      <c r="A27" s="4" t="str">
        <f>IF('American Transactions'!A27 = "","",'American Transactions'!A27)</f>
        <v/>
      </c>
      <c r="B27" s="5" t="str">
        <f>IF('American Transactions'!B27 = "","",'American Transactions'!B27)</f>
        <v/>
      </c>
      <c r="C27" s="13" t="str">
        <f>IF('American Transactions'!C27 = "","", IF($B27 = "BUY", 'American Transactions'!C27,-'American Transactions'!C27))</f>
        <v/>
      </c>
      <c r="D27" s="6" t="str">
        <f>IF('American Transactions'!D27 = "","",IF($B27 = "BUY", 'American Transactions'!D27,-'American Transactions'!D27))</f>
        <v/>
      </c>
      <c r="E27" s="6" t="str">
        <f t="shared" si="0"/>
        <v/>
      </c>
      <c r="F27" s="26"/>
      <c r="G27" s="5" t="str">
        <f t="shared" si="1"/>
        <v/>
      </c>
      <c r="H27" s="5" t="str">
        <f>IF(A27="","",COUNTIF($G$2:G27,G27))</f>
        <v/>
      </c>
      <c r="I27" s="5" t="str">
        <f t="shared" si="13"/>
        <v/>
      </c>
      <c r="J27" s="5" t="str">
        <f>IF(G27="","",IF(COUNTIF($G$2:G27,G27)&gt;1,SUMIF($A$2:A27,G27,$C$2:C27),C27))</f>
        <v/>
      </c>
      <c r="K27" s="6" t="str">
        <f>IF(G27="","",IF(COUNTIF($G$2:G27,G27)&gt;1,SUMIF($A$2:A27,G27,$D$2:D27),D27) +SUMIF($G$2:G27,G27,$M$2:M27))</f>
        <v/>
      </c>
      <c r="L27" s="6" t="str">
        <f t="shared" si="3"/>
        <v/>
      </c>
      <c r="M27" s="31" t="str">
        <f>IF(G27="","",IF(B27 = "BUY", 0,(E27-VLOOKUP(CONCATENATE(G27,(H27-1)),$I$2:L26,4,FALSE))*-C27))</f>
        <v/>
      </c>
      <c r="P27" t="str">
        <f t="shared" si="14"/>
        <v/>
      </c>
    </row>
    <row r="28" spans="1:25" x14ac:dyDescent="0.3">
      <c r="A28" s="4" t="str">
        <f>IF('American Transactions'!A28 = "","",'American Transactions'!A28)</f>
        <v/>
      </c>
      <c r="B28" s="5" t="str">
        <f>IF('American Transactions'!B28 = "","",'American Transactions'!B28)</f>
        <v/>
      </c>
      <c r="C28" s="13" t="str">
        <f>IF('American Transactions'!C28 = "","", IF($B28 = "BUY", 'American Transactions'!C28,-'American Transactions'!C28))</f>
        <v/>
      </c>
      <c r="D28" s="6" t="str">
        <f>IF('American Transactions'!D28 = "","",IF($B28 = "BUY", 'American Transactions'!D28,-'American Transactions'!D28))</f>
        <v/>
      </c>
      <c r="E28" s="6" t="str">
        <f t="shared" si="0"/>
        <v/>
      </c>
      <c r="F28" s="26"/>
      <c r="G28" s="5" t="str">
        <f t="shared" si="1"/>
        <v/>
      </c>
      <c r="H28" s="5" t="str">
        <f>IF(A28="","",COUNTIF($G$2:G28,G28))</f>
        <v/>
      </c>
      <c r="I28" s="5" t="str">
        <f t="shared" si="13"/>
        <v/>
      </c>
      <c r="J28" s="5" t="str">
        <f>IF(G28="","",IF(COUNTIF($G$2:G28,G28)&gt;1,SUMIF($A$2:A28,G28,$C$2:C28),C28))</f>
        <v/>
      </c>
      <c r="K28" s="6" t="str">
        <f>IF(G28="","",IF(COUNTIF($G$2:G28,G28)&gt;1,SUMIF($A$2:A28,G28,$D$2:D28),D28) +SUMIF($G$2:G28,G28,$M$2:M28))</f>
        <v/>
      </c>
      <c r="L28" s="6" t="str">
        <f t="shared" si="3"/>
        <v/>
      </c>
      <c r="M28" s="31" t="str">
        <f>IF(G28="","",IF(B28 = "BUY", 0,(E28-VLOOKUP(CONCATENATE(G28,(H28-1)),$I$2:L27,4,FALSE))*-C28))</f>
        <v/>
      </c>
      <c r="P28" t="str">
        <f t="shared" si="14"/>
        <v/>
      </c>
    </row>
    <row r="29" spans="1:25" x14ac:dyDescent="0.3">
      <c r="A29" s="4" t="str">
        <f>IF('American Transactions'!A29 = "","",'American Transactions'!A29)</f>
        <v/>
      </c>
      <c r="B29" s="5" t="str">
        <f>IF('American Transactions'!B29 = "","",'American Transactions'!B29)</f>
        <v/>
      </c>
      <c r="C29" s="13" t="str">
        <f>IF('American Transactions'!C29 = "","", IF($B29 = "BUY", 'American Transactions'!C29,-'American Transactions'!C29))</f>
        <v/>
      </c>
      <c r="D29" s="6" t="str">
        <f>IF('American Transactions'!D29 = "","",IF($B29 = "BUY", 'American Transactions'!D29,-'American Transactions'!D29))</f>
        <v/>
      </c>
      <c r="E29" s="6" t="str">
        <f t="shared" si="0"/>
        <v/>
      </c>
      <c r="F29" s="26"/>
      <c r="G29" s="5" t="str">
        <f t="shared" si="1"/>
        <v/>
      </c>
      <c r="H29" s="5" t="str">
        <f>IF(A29="","",COUNTIF($G$2:G29,G29))</f>
        <v/>
      </c>
      <c r="I29" s="5" t="str">
        <f t="shared" si="13"/>
        <v/>
      </c>
      <c r="J29" s="5" t="str">
        <f>IF(G29="","",IF(COUNTIF($G$2:G29,G29)&gt;1,SUMIF($A$2:A29,G29,$C$2:C29),C29))</f>
        <v/>
      </c>
      <c r="K29" s="6" t="str">
        <f>IF(G29="","",IF(COUNTIF($G$2:G29,G29)&gt;1,SUMIF($A$2:A29,G29,$D$2:D29),D29) +SUMIF($G$2:G29,G29,$M$2:M29))</f>
        <v/>
      </c>
      <c r="L29" s="6" t="str">
        <f t="shared" si="3"/>
        <v/>
      </c>
      <c r="M29" s="31" t="str">
        <f>IF(G29="","",IF(B29 = "BUY", 0,(E29-VLOOKUP(CONCATENATE(G29,(H29-1)),$I$2:L28,4,FALSE))*-C29))</f>
        <v/>
      </c>
      <c r="P29" t="str">
        <f t="shared" si="14"/>
        <v/>
      </c>
    </row>
    <row r="30" spans="1:25" x14ac:dyDescent="0.3">
      <c r="A30" s="4" t="str">
        <f>IF('American Transactions'!A30 = "","",'American Transactions'!A30)</f>
        <v/>
      </c>
      <c r="B30" s="5" t="str">
        <f>IF('American Transactions'!B30 = "","",'American Transactions'!B30)</f>
        <v/>
      </c>
      <c r="C30" s="13" t="str">
        <f>IF('American Transactions'!C30 = "","", IF($B30 = "BUY", 'American Transactions'!C30,-'American Transactions'!C30))</f>
        <v/>
      </c>
      <c r="D30" s="6" t="str">
        <f>IF('American Transactions'!D30 = "","",IF($B30 = "BUY", 'American Transactions'!D30,-'American Transactions'!D30))</f>
        <v/>
      </c>
      <c r="E30" s="6" t="str">
        <f t="shared" si="0"/>
        <v/>
      </c>
      <c r="F30" s="26"/>
      <c r="G30" s="5" t="str">
        <f t="shared" si="1"/>
        <v/>
      </c>
      <c r="H30" s="5" t="str">
        <f>IF(A30="","",COUNTIF($G$2:G30,G30))</f>
        <v/>
      </c>
      <c r="I30" s="5" t="str">
        <f t="shared" si="13"/>
        <v/>
      </c>
      <c r="J30" s="5" t="str">
        <f>IF(G30="","",IF(COUNTIF($G$2:G30,G30)&gt;1,SUMIF($A$2:A30,G30,$C$2:C30),C30))</f>
        <v/>
      </c>
      <c r="K30" s="6" t="str">
        <f>IF(G30="","",IF(COUNTIF($G$2:G30,G30)&gt;1,SUMIF($A$2:A30,G30,$D$2:D30),D30) +SUMIF($G$2:G30,G30,$M$2:M30))</f>
        <v/>
      </c>
      <c r="L30" s="6" t="str">
        <f t="shared" si="3"/>
        <v/>
      </c>
      <c r="M30" s="31" t="str">
        <f>IF(G30="","",IF(B30 = "BUY", 0,(E30-VLOOKUP(CONCATENATE(G30,(H30-1)),$I$2:L29,4,FALSE))*-C30))</f>
        <v/>
      </c>
      <c r="P30" t="str">
        <f t="shared" si="14"/>
        <v/>
      </c>
    </row>
    <row r="31" spans="1:25" x14ac:dyDescent="0.3">
      <c r="A31" s="4" t="str">
        <f>IF('American Transactions'!A31 = "","",'American Transactions'!A31)</f>
        <v/>
      </c>
      <c r="B31" s="5" t="str">
        <f>IF('American Transactions'!B31 = "","",'American Transactions'!B31)</f>
        <v/>
      </c>
      <c r="C31" s="13" t="str">
        <f>IF('American Transactions'!C31 = "","", IF($B31 = "BUY", 'American Transactions'!C31,-'American Transactions'!C31))</f>
        <v/>
      </c>
      <c r="D31" s="6" t="str">
        <f>IF('American Transactions'!D31 = "","",IF($B31 = "BUY", 'American Transactions'!D31,-'American Transactions'!D31))</f>
        <v/>
      </c>
      <c r="E31" s="6" t="str">
        <f t="shared" si="0"/>
        <v/>
      </c>
      <c r="F31" s="26"/>
      <c r="G31" s="5" t="str">
        <f t="shared" si="1"/>
        <v/>
      </c>
      <c r="H31" s="5" t="str">
        <f>IF(A31="","",COUNTIF($G$2:G31,G31))</f>
        <v/>
      </c>
      <c r="I31" s="5" t="str">
        <f t="shared" si="13"/>
        <v/>
      </c>
      <c r="J31" s="5" t="str">
        <f>IF(G31="","",IF(COUNTIF($G$2:G31,G31)&gt;1,SUMIF($A$2:A31,G31,$C$2:C31),C31))</f>
        <v/>
      </c>
      <c r="K31" s="6" t="str">
        <f>IF(G31="","",IF(COUNTIF($G$2:G31,G31)&gt;1,SUMIF($A$2:A31,G31,$D$2:D31),D31) +SUMIF($G$2:G31,G31,$M$2:M31))</f>
        <v/>
      </c>
      <c r="L31" s="6" t="str">
        <f t="shared" si="3"/>
        <v/>
      </c>
      <c r="M31" s="31" t="str">
        <f>IF(G31="","",IF(B31 = "BUY", 0,(E31-VLOOKUP(CONCATENATE(G31,(H31-1)),$I$2:L30,4,FALSE))*-C31))</f>
        <v/>
      </c>
      <c r="P31" t="str">
        <f t="shared" si="14"/>
        <v/>
      </c>
    </row>
    <row r="32" spans="1:25" x14ac:dyDescent="0.3">
      <c r="A32" s="4" t="str">
        <f>IF('American Transactions'!A32 = "","",'American Transactions'!A32)</f>
        <v/>
      </c>
      <c r="B32" s="5" t="str">
        <f>IF('American Transactions'!B32 = "","",'American Transactions'!B32)</f>
        <v/>
      </c>
      <c r="C32" s="13" t="str">
        <f>IF('American Transactions'!C32 = "","", IF($B32 = "BUY", 'American Transactions'!C32,-'American Transactions'!C32))</f>
        <v/>
      </c>
      <c r="D32" s="6" t="str">
        <f>IF('American Transactions'!D32 = "","",IF($B32 = "BUY", 'American Transactions'!D32,-'American Transactions'!D32))</f>
        <v/>
      </c>
      <c r="E32" s="6" t="str">
        <f t="shared" si="0"/>
        <v/>
      </c>
      <c r="F32" s="26"/>
      <c r="G32" s="5" t="str">
        <f t="shared" si="1"/>
        <v/>
      </c>
      <c r="H32" s="5" t="str">
        <f>IF(A32="","",COUNTIF($G$2:G32,G32))</f>
        <v/>
      </c>
      <c r="I32" s="5" t="str">
        <f t="shared" si="13"/>
        <v/>
      </c>
      <c r="J32" s="5" t="str">
        <f>IF(G32="","",IF(COUNTIF($G$2:G32,G32)&gt;1,SUMIF($A$2:A32,G32,$C$2:C32),C32))</f>
        <v/>
      </c>
      <c r="K32" s="6" t="str">
        <f>IF(G32="","",IF(COUNTIF($G$2:G32,G32)&gt;1,SUMIF($A$2:A32,G32,$D$2:D32),D32) +SUMIF($G$2:G32,G32,$M$2:M32))</f>
        <v/>
      </c>
      <c r="L32" s="6" t="str">
        <f t="shared" si="3"/>
        <v/>
      </c>
      <c r="M32" s="31" t="str">
        <f>IF(G32="","",IF(B32 = "BUY", 0,(E32-VLOOKUP(CONCATENATE(G32,(H32-1)),$I$2:L31,4,FALSE))*-C32))</f>
        <v/>
      </c>
      <c r="P32" t="str">
        <f t="shared" si="14"/>
        <v/>
      </c>
    </row>
    <row r="33" spans="1:16" x14ac:dyDescent="0.3">
      <c r="A33" s="4" t="str">
        <f>IF('American Transactions'!A33 = "","",'American Transactions'!A33)</f>
        <v/>
      </c>
      <c r="B33" s="5" t="str">
        <f>IF('American Transactions'!B33 = "","",'American Transactions'!B33)</f>
        <v/>
      </c>
      <c r="C33" s="13" t="str">
        <f>IF('American Transactions'!C33 = "","", IF($B33 = "BUY", 'American Transactions'!C33,-'American Transactions'!C33))</f>
        <v/>
      </c>
      <c r="D33" s="6" t="str">
        <f>IF('American Transactions'!D33 = "","",IF($B33 = "BUY", 'American Transactions'!D33,-'American Transactions'!D33))</f>
        <v/>
      </c>
      <c r="E33" s="6" t="str">
        <f t="shared" si="0"/>
        <v/>
      </c>
      <c r="F33" s="26"/>
      <c r="G33" s="5" t="str">
        <f t="shared" si="1"/>
        <v/>
      </c>
      <c r="H33" s="5" t="str">
        <f>IF(A33="","",COUNTIF($G$2:G33,G33))</f>
        <v/>
      </c>
      <c r="I33" s="5" t="str">
        <f t="shared" si="13"/>
        <v/>
      </c>
      <c r="J33" s="5" t="str">
        <f>IF(G33="","",IF(COUNTIF($G$2:G33,G33)&gt;1,SUMIF($A$2:A33,G33,$C$2:C33),C33))</f>
        <v/>
      </c>
      <c r="K33" s="6" t="str">
        <f>IF(G33="","",IF(COUNTIF($G$2:G33,G33)&gt;1,SUMIF($A$2:A33,G33,$D$2:D33),D33) +SUMIF($G$2:G33,G33,$M$2:M33))</f>
        <v/>
      </c>
      <c r="L33" s="6" t="str">
        <f t="shared" si="3"/>
        <v/>
      </c>
      <c r="M33" s="31" t="str">
        <f>IF(G33="","",IF(B33 = "BUY", 0,(E33-VLOOKUP(CONCATENATE(G33,(H33-1)),$I$2:L32,4,FALSE))*-C33))</f>
        <v/>
      </c>
      <c r="P33" t="str">
        <f t="shared" si="14"/>
        <v/>
      </c>
    </row>
    <row r="34" spans="1:16" x14ac:dyDescent="0.3">
      <c r="A34" s="4" t="str">
        <f>IF('American Transactions'!A34 = "","",'American Transactions'!A34)</f>
        <v/>
      </c>
      <c r="B34" s="5" t="str">
        <f>IF('American Transactions'!B34 = "","",'American Transactions'!B34)</f>
        <v/>
      </c>
      <c r="C34" s="13" t="str">
        <f>IF('American Transactions'!C34 = "","", IF($B34 = "BUY", 'American Transactions'!C34,-'American Transactions'!C34))</f>
        <v/>
      </c>
      <c r="D34" s="6" t="str">
        <f>IF('American Transactions'!D34 = "","",IF($B34 = "BUY", 'American Transactions'!D34,-'American Transactions'!D34))</f>
        <v/>
      </c>
      <c r="E34" s="6" t="str">
        <f t="shared" si="0"/>
        <v/>
      </c>
      <c r="F34" s="26"/>
      <c r="G34" s="5" t="str">
        <f t="shared" si="1"/>
        <v/>
      </c>
      <c r="H34" s="5" t="str">
        <f>IF(A34="","",COUNTIF($G$2:G34,G34))</f>
        <v/>
      </c>
      <c r="I34" s="5" t="str">
        <f t="shared" si="13"/>
        <v/>
      </c>
      <c r="J34" s="5" t="str">
        <f>IF(G34="","",IF(COUNTIF($G$2:G34,G34)&gt;1,SUMIF($A$2:A34,G34,$C$2:C34),C34))</f>
        <v/>
      </c>
      <c r="K34" s="6" t="str">
        <f>IF(G34="","",IF(COUNTIF($G$2:G34,G34)&gt;1,SUMIF($A$2:A34,G34,$D$2:D34),D34) +SUMIF($G$2:G34,G34,$M$2:M34))</f>
        <v/>
      </c>
      <c r="L34" s="6" t="str">
        <f t="shared" si="3"/>
        <v/>
      </c>
      <c r="M34" s="31" t="str">
        <f>IF(G34="","",IF(B34 = "BUY", 0,(E34-VLOOKUP(CONCATENATE(G34,(H34-1)),$I$2:L33,4,FALSE))*-C34))</f>
        <v/>
      </c>
      <c r="P34" t="str">
        <f t="shared" si="14"/>
        <v/>
      </c>
    </row>
    <row r="35" spans="1:16" x14ac:dyDescent="0.3">
      <c r="A35" s="4" t="str">
        <f>IF('American Transactions'!A35 = "","",'American Transactions'!A35)</f>
        <v/>
      </c>
      <c r="B35" s="5" t="str">
        <f>IF('American Transactions'!B35 = "","",'American Transactions'!B35)</f>
        <v/>
      </c>
      <c r="C35" s="13" t="str">
        <f>IF('American Transactions'!C35 = "","", IF($B35 = "BUY", 'American Transactions'!C35,-'American Transactions'!C35))</f>
        <v/>
      </c>
      <c r="D35" s="6" t="str">
        <f>IF('American Transactions'!D35 = "","",IF($B35 = "BUY", 'American Transactions'!D35,-'American Transactions'!D35))</f>
        <v/>
      </c>
      <c r="E35" s="6" t="str">
        <f t="shared" si="0"/>
        <v/>
      </c>
      <c r="F35" s="26"/>
      <c r="G35" s="5" t="str">
        <f t="shared" si="1"/>
        <v/>
      </c>
      <c r="H35" s="5" t="str">
        <f>IF(A35="","",COUNTIF($G$2:G35,G35))</f>
        <v/>
      </c>
      <c r="I35" s="5" t="str">
        <f t="shared" si="13"/>
        <v/>
      </c>
      <c r="J35" s="5" t="str">
        <f>IF(G35="","",IF(COUNTIF($G$2:G35,G35)&gt;1,SUMIF($A$2:A35,G35,$C$2:C35),C35))</f>
        <v/>
      </c>
      <c r="K35" s="6" t="str">
        <f>IF(G35="","",IF(COUNTIF($G$2:G35,G35)&gt;1,SUMIF($A$2:A35,G35,$D$2:D35),D35) +SUMIF($G$2:G35,G35,$M$2:M35))</f>
        <v/>
      </c>
      <c r="L35" s="6" t="str">
        <f t="shared" si="3"/>
        <v/>
      </c>
      <c r="M35" s="31" t="str">
        <f>IF(G35="","",IF(B35 = "BUY", 0,(E35-VLOOKUP(CONCATENATE(G35,(H35-1)),$I$2:L34,4,FALSE))*-C35))</f>
        <v/>
      </c>
      <c r="P35" t="str">
        <f t="shared" si="14"/>
        <v/>
      </c>
    </row>
    <row r="36" spans="1:16" x14ac:dyDescent="0.3">
      <c r="A36" s="4" t="str">
        <f>IF('American Transactions'!A36 = "","",'American Transactions'!A36)</f>
        <v/>
      </c>
      <c r="B36" s="5" t="str">
        <f>IF('American Transactions'!B36 = "","",'American Transactions'!B36)</f>
        <v/>
      </c>
      <c r="C36" s="13" t="str">
        <f>IF('American Transactions'!C36 = "","", IF($B36 = "BUY", 'American Transactions'!C36,-'American Transactions'!C36))</f>
        <v/>
      </c>
      <c r="D36" s="6" t="str">
        <f>IF('American Transactions'!D36 = "","",IF($B36 = "BUY", 'American Transactions'!D36,-'American Transactions'!D36))</f>
        <v/>
      </c>
      <c r="E36" s="6" t="str">
        <f t="shared" si="0"/>
        <v/>
      </c>
      <c r="F36" s="26"/>
      <c r="G36" s="5" t="str">
        <f t="shared" si="1"/>
        <v/>
      </c>
      <c r="H36" s="5" t="str">
        <f>IF(A36="","",COUNTIF($G$2:G36,G36))</f>
        <v/>
      </c>
      <c r="I36" s="5" t="str">
        <f t="shared" si="13"/>
        <v/>
      </c>
      <c r="J36" s="5" t="str">
        <f>IF(G36="","",IF(COUNTIF($G$2:G36,G36)&gt;1,SUMIF($A$2:A36,G36,$C$2:C36),C36))</f>
        <v/>
      </c>
      <c r="K36" s="6" t="str">
        <f>IF(G36="","",IF(COUNTIF($G$2:G36,G36)&gt;1,SUMIF($A$2:A36,G36,$D$2:D36),D36) +SUMIF($G$2:G36,G36,$M$2:M36))</f>
        <v/>
      </c>
      <c r="L36" s="6" t="str">
        <f t="shared" si="3"/>
        <v/>
      </c>
      <c r="M36" s="31" t="str">
        <f>IF(G36="","",IF(B36 = "BUY", 0,(E36-VLOOKUP(CONCATENATE(G36,(H36-1)),$I$2:L35,4,FALSE))*-C36))</f>
        <v/>
      </c>
      <c r="P36" t="str">
        <f t="shared" si="14"/>
        <v/>
      </c>
    </row>
    <row r="37" spans="1:16" x14ac:dyDescent="0.3">
      <c r="A37" s="4" t="str">
        <f>IF('American Transactions'!A37 = "","",'American Transactions'!A37)</f>
        <v/>
      </c>
      <c r="B37" s="5" t="str">
        <f>IF('American Transactions'!B37 = "","",'American Transactions'!B37)</f>
        <v/>
      </c>
      <c r="C37" s="13" t="str">
        <f>IF('American Transactions'!C37 = "","", IF($B37 = "BUY", 'American Transactions'!C37,-'American Transactions'!C37))</f>
        <v/>
      </c>
      <c r="D37" s="6" t="str">
        <f>IF('American Transactions'!D37 = "","",IF($B37 = "BUY", 'American Transactions'!D37,-'American Transactions'!D37))</f>
        <v/>
      </c>
      <c r="E37" s="6" t="str">
        <f t="shared" si="0"/>
        <v/>
      </c>
      <c r="F37" s="26"/>
      <c r="G37" s="5" t="str">
        <f t="shared" si="1"/>
        <v/>
      </c>
      <c r="H37" s="5" t="str">
        <f>IF(A37="","",COUNTIF($G$2:G37,G37))</f>
        <v/>
      </c>
      <c r="I37" s="5" t="str">
        <f t="shared" si="13"/>
        <v/>
      </c>
      <c r="J37" s="5" t="str">
        <f>IF(G37="","",IF(COUNTIF($G$2:G37,G37)&gt;1,SUMIF($A$2:A37,G37,$C$2:C37),C37))</f>
        <v/>
      </c>
      <c r="K37" s="6" t="str">
        <f>IF(G37="","",IF(COUNTIF($G$2:G37,G37)&gt;1,SUMIF($A$2:A37,G37,$D$2:D37),D37) +SUMIF($G$2:G37,G37,$M$2:M37))</f>
        <v/>
      </c>
      <c r="L37" s="6" t="str">
        <f t="shared" si="3"/>
        <v/>
      </c>
      <c r="M37" s="31" t="str">
        <f>IF(G37="","",IF(B37 = "BUY", 0,(E37-VLOOKUP(CONCATENATE(G37,(H37-1)),$I$2:L36,4,FALSE))*-C37))</f>
        <v/>
      </c>
      <c r="P37" t="str">
        <f t="shared" si="14"/>
        <v/>
      </c>
    </row>
    <row r="38" spans="1:16" x14ac:dyDescent="0.3">
      <c r="A38" s="4" t="str">
        <f>IF('American Transactions'!A38 = "","",'American Transactions'!A38)</f>
        <v/>
      </c>
      <c r="B38" s="5" t="str">
        <f>IF('American Transactions'!B38 = "","",'American Transactions'!B38)</f>
        <v/>
      </c>
      <c r="C38" s="13" t="str">
        <f>IF('American Transactions'!C38 = "","", IF($B38 = "BUY", 'American Transactions'!C38,-'American Transactions'!C38))</f>
        <v/>
      </c>
      <c r="D38" s="6" t="str">
        <f>IF('American Transactions'!D38 = "","",IF($B38 = "BUY", 'American Transactions'!D38,-'American Transactions'!D38))</f>
        <v/>
      </c>
      <c r="E38" s="6" t="str">
        <f t="shared" si="0"/>
        <v/>
      </c>
      <c r="F38" s="26"/>
      <c r="G38" s="5" t="str">
        <f t="shared" si="1"/>
        <v/>
      </c>
      <c r="H38" s="5" t="str">
        <f>IF(A38="","",COUNTIF($G$2:G38,G38))</f>
        <v/>
      </c>
      <c r="I38" s="5" t="str">
        <f t="shared" si="13"/>
        <v/>
      </c>
      <c r="J38" s="5" t="str">
        <f>IF(G38="","",IF(COUNTIF($G$2:G38,G38)&gt;1,SUMIF($A$2:A38,G38,$C$2:C38),C38))</f>
        <v/>
      </c>
      <c r="K38" s="6" t="str">
        <f>IF(G38="","",IF(COUNTIF($G$2:G38,G38)&gt;1,SUMIF($A$2:A38,G38,$D$2:D38),D38) +SUMIF($G$2:G38,G38,$M$2:M38))</f>
        <v/>
      </c>
      <c r="L38" s="6" t="str">
        <f t="shared" si="3"/>
        <v/>
      </c>
      <c r="M38" s="31" t="str">
        <f>IF(G38="","",IF(B38 = "BUY", 0,(E38-VLOOKUP(CONCATENATE(G38,(H38-1)),$I$2:L37,4,FALSE))*-C38))</f>
        <v/>
      </c>
      <c r="P38" t="str">
        <f t="shared" si="14"/>
        <v/>
      </c>
    </row>
    <row r="39" spans="1:16" x14ac:dyDescent="0.3">
      <c r="A39" s="4" t="str">
        <f>IF('American Transactions'!A39 = "","",'American Transactions'!A39)</f>
        <v/>
      </c>
      <c r="B39" s="5" t="str">
        <f>IF('American Transactions'!B39 = "","",'American Transactions'!B39)</f>
        <v/>
      </c>
      <c r="C39" s="13" t="str">
        <f>IF('American Transactions'!C39 = "","", IF($B39 = "BUY", 'American Transactions'!C39,-'American Transactions'!C39))</f>
        <v/>
      </c>
      <c r="D39" s="6" t="str">
        <f>IF('American Transactions'!D39 = "","",IF($B39 = "BUY", 'American Transactions'!D39,-'American Transactions'!D39))</f>
        <v/>
      </c>
      <c r="E39" s="6" t="str">
        <f t="shared" si="0"/>
        <v/>
      </c>
      <c r="F39" s="26"/>
      <c r="G39" s="5" t="str">
        <f t="shared" si="1"/>
        <v/>
      </c>
      <c r="H39" s="5" t="str">
        <f>IF(A39="","",COUNTIF($G$2:G39,G39))</f>
        <v/>
      </c>
      <c r="I39" s="5" t="str">
        <f t="shared" si="13"/>
        <v/>
      </c>
      <c r="J39" s="5" t="str">
        <f>IF(G39="","",IF(COUNTIF($G$2:G39,G39)&gt;1,SUMIF($A$2:A39,G39,$C$2:C39),C39))</f>
        <v/>
      </c>
      <c r="K39" s="6" t="str">
        <f>IF(G39="","",IF(COUNTIF($G$2:G39,G39)&gt;1,SUMIF($A$2:A39,G39,$D$2:D39),D39) +SUMIF($G$2:G39,G39,$M$2:M39))</f>
        <v/>
      </c>
      <c r="L39" s="6" t="str">
        <f t="shared" si="3"/>
        <v/>
      </c>
      <c r="M39" s="31" t="str">
        <f>IF(G39="","",IF(B39 = "BUY", 0,(E39-VLOOKUP(CONCATENATE(G39,(H39-1)),$I$2:L38,4,FALSE))*-C39))</f>
        <v/>
      </c>
      <c r="P39" t="str">
        <f t="shared" si="14"/>
        <v/>
      </c>
    </row>
    <row r="40" spans="1:16" x14ac:dyDescent="0.3">
      <c r="A40" s="4" t="str">
        <f>IF('American Transactions'!A40 = "","",'American Transactions'!A40)</f>
        <v/>
      </c>
      <c r="B40" s="5" t="str">
        <f>IF('American Transactions'!B40 = "","",'American Transactions'!B40)</f>
        <v/>
      </c>
      <c r="C40" s="13" t="str">
        <f>IF('American Transactions'!C40 = "","", IF($B40 = "BUY", 'American Transactions'!C40,-'American Transactions'!C40))</f>
        <v/>
      </c>
      <c r="D40" s="6" t="str">
        <f>IF('American Transactions'!D40 = "","",IF($B40 = "BUY", 'American Transactions'!D40,-'American Transactions'!D40))</f>
        <v/>
      </c>
      <c r="E40" s="6" t="str">
        <f t="shared" si="0"/>
        <v/>
      </c>
      <c r="F40" s="26"/>
      <c r="G40" s="5" t="str">
        <f t="shared" si="1"/>
        <v/>
      </c>
      <c r="H40" s="5" t="str">
        <f>IF(A40="","",COUNTIF($G$2:G40,G40))</f>
        <v/>
      </c>
      <c r="I40" s="5" t="str">
        <f t="shared" si="13"/>
        <v/>
      </c>
      <c r="J40" s="5" t="str">
        <f>IF(G40="","",IF(COUNTIF($G$2:G40,G40)&gt;1,SUMIF($A$2:A40,G40,$C$2:C40),C40))</f>
        <v/>
      </c>
      <c r="K40" s="6" t="str">
        <f>IF(G40="","",IF(COUNTIF($G$2:G40,G40)&gt;1,SUMIF($A$2:A40,G40,$D$2:D40),D40) +SUMIF($G$2:G40,G40,$M$2:M40))</f>
        <v/>
      </c>
      <c r="L40" s="6" t="str">
        <f t="shared" si="3"/>
        <v/>
      </c>
      <c r="M40" s="31" t="str">
        <f>IF(G40="","",IF(B40 = "BUY", 0,(E40-VLOOKUP(CONCATENATE(G40,(H40-1)),$I$2:L39,4,FALSE))*-C40))</f>
        <v/>
      </c>
      <c r="P40" t="str">
        <f t="shared" si="14"/>
        <v/>
      </c>
    </row>
    <row r="41" spans="1:16" x14ac:dyDescent="0.3">
      <c r="A41" s="4" t="str">
        <f>IF('American Transactions'!A41 = "","",'American Transactions'!A41)</f>
        <v/>
      </c>
      <c r="B41" s="5" t="str">
        <f>IF('American Transactions'!B41 = "","",'American Transactions'!B41)</f>
        <v/>
      </c>
      <c r="C41" s="13" t="str">
        <f>IF('American Transactions'!C41 = "","", IF($B41 = "BUY", 'American Transactions'!C41,-'American Transactions'!C41))</f>
        <v/>
      </c>
      <c r="D41" s="6" t="str">
        <f>IF('American Transactions'!D41 = "","",IF($B41 = "BUY", 'American Transactions'!D41,-'American Transactions'!D41))</f>
        <v/>
      </c>
      <c r="E41" s="6" t="str">
        <f t="shared" si="0"/>
        <v/>
      </c>
      <c r="F41" s="26"/>
      <c r="G41" s="5" t="str">
        <f t="shared" si="1"/>
        <v/>
      </c>
      <c r="H41" s="5" t="str">
        <f>IF(A41="","",COUNTIF($G$2:G41,G41))</f>
        <v/>
      </c>
      <c r="I41" s="5" t="str">
        <f t="shared" si="13"/>
        <v/>
      </c>
      <c r="J41" s="5" t="str">
        <f>IF(G41="","",IF(COUNTIF($G$2:G41,G41)&gt;1,SUMIF($A$2:A41,G41,$C$2:C41),C41))</f>
        <v/>
      </c>
      <c r="K41" s="6" t="str">
        <f>IF(G41="","",IF(COUNTIF($G$2:G41,G41)&gt;1,SUMIF($A$2:A41,G41,$D$2:D41),D41) +SUMIF($G$2:G41,G41,$M$2:M41))</f>
        <v/>
      </c>
      <c r="L41" s="6" t="str">
        <f t="shared" si="3"/>
        <v/>
      </c>
      <c r="M41" s="31" t="str">
        <f>IF(G41="","",IF(B41 = "BUY", 0,(E41-VLOOKUP(CONCATENATE(G41,(H41-1)),$I$2:L40,4,FALSE))*-C41))</f>
        <v/>
      </c>
      <c r="P41" t="str">
        <f t="shared" si="14"/>
        <v/>
      </c>
    </row>
    <row r="42" spans="1:16" x14ac:dyDescent="0.3">
      <c r="A42" s="4" t="str">
        <f>IF('American Transactions'!A42 = "","",'American Transactions'!A42)</f>
        <v/>
      </c>
      <c r="B42" s="5" t="str">
        <f>IF('American Transactions'!B42 = "","",'American Transactions'!B42)</f>
        <v/>
      </c>
      <c r="C42" s="13" t="str">
        <f>IF('American Transactions'!C42 = "","", IF($B42 = "BUY", 'American Transactions'!C42,-'American Transactions'!C42))</f>
        <v/>
      </c>
      <c r="D42" s="6" t="str">
        <f>IF('American Transactions'!D42 = "","",IF($B42 = "BUY", 'American Transactions'!D42,-'American Transactions'!D42))</f>
        <v/>
      </c>
      <c r="E42" s="6" t="str">
        <f t="shared" si="0"/>
        <v/>
      </c>
      <c r="F42" s="26"/>
      <c r="G42" s="5" t="str">
        <f t="shared" si="1"/>
        <v/>
      </c>
      <c r="H42" s="5" t="str">
        <f>IF(A42="","",COUNTIF($G$2:G42,G42))</f>
        <v/>
      </c>
      <c r="I42" s="5" t="str">
        <f t="shared" si="13"/>
        <v/>
      </c>
      <c r="J42" s="5" t="str">
        <f>IF(G42="","",IF(COUNTIF($G$2:G42,G42)&gt;1,SUMIF($A$2:A42,G42,$C$2:C42),C42))</f>
        <v/>
      </c>
      <c r="K42" s="6" t="str">
        <f>IF(G42="","",IF(COUNTIF($G$2:G42,G42)&gt;1,SUMIF($A$2:A42,G42,$D$2:D42),D42) +SUMIF($G$2:G42,G42,$M$2:M42))</f>
        <v/>
      </c>
      <c r="L42" s="6" t="str">
        <f t="shared" si="3"/>
        <v/>
      </c>
      <c r="M42" s="31" t="str">
        <f>IF(G42="","",IF(B42 = "BUY", 0,(E42-VLOOKUP(CONCATENATE(G42,(H42-1)),$I$2:L41,4,FALSE))*-C42))</f>
        <v/>
      </c>
      <c r="P42" t="str">
        <f t="shared" si="14"/>
        <v/>
      </c>
    </row>
    <row r="43" spans="1:16" x14ac:dyDescent="0.3">
      <c r="A43" s="4" t="str">
        <f>IF('American Transactions'!A43 = "","",'American Transactions'!A43)</f>
        <v/>
      </c>
      <c r="B43" s="5" t="str">
        <f>IF('American Transactions'!B43 = "","",'American Transactions'!B43)</f>
        <v/>
      </c>
      <c r="C43" s="13" t="str">
        <f>IF('American Transactions'!C43 = "","", IF($B43 = "BUY", 'American Transactions'!C43,-'American Transactions'!C43))</f>
        <v/>
      </c>
      <c r="D43" s="6" t="str">
        <f>IF('American Transactions'!D43 = "","",IF($B43 = "BUY", 'American Transactions'!D43,-'American Transactions'!D43))</f>
        <v/>
      </c>
      <c r="E43" s="6" t="str">
        <f t="shared" si="0"/>
        <v/>
      </c>
      <c r="F43" s="26"/>
      <c r="G43" s="5" t="str">
        <f t="shared" si="1"/>
        <v/>
      </c>
      <c r="H43" s="5" t="str">
        <f>IF(A43="","",COUNTIF($G$2:G43,G43))</f>
        <v/>
      </c>
      <c r="I43" s="5" t="str">
        <f t="shared" si="13"/>
        <v/>
      </c>
      <c r="J43" s="5" t="str">
        <f>IF(G43="","",IF(COUNTIF($G$2:G43,G43)&gt;1,SUMIF($A$2:A43,G43,$C$2:C43),C43))</f>
        <v/>
      </c>
      <c r="K43" s="6" t="str">
        <f>IF(G43="","",IF(COUNTIF($G$2:G43,G43)&gt;1,SUMIF($A$2:A43,G43,$D$2:D43),D43) +SUMIF($G$2:G43,G43,$M$2:M43))</f>
        <v/>
      </c>
      <c r="L43" s="6" t="str">
        <f t="shared" si="3"/>
        <v/>
      </c>
      <c r="M43" s="31" t="str">
        <f>IF(G43="","",IF(B43 = "BUY", 0,(E43-VLOOKUP(CONCATENATE(G43,(H43-1)),$I$2:L42,4,FALSE))*-C43))</f>
        <v/>
      </c>
    </row>
    <row r="44" spans="1:16" x14ac:dyDescent="0.3">
      <c r="A44" s="4" t="str">
        <f>IF('American Transactions'!A44 = "","",'American Transactions'!A44)</f>
        <v/>
      </c>
      <c r="B44" s="5" t="str">
        <f>IF('American Transactions'!B44 = "","",'American Transactions'!B44)</f>
        <v/>
      </c>
      <c r="C44" s="13" t="str">
        <f>IF('American Transactions'!C44 = "","", IF($B44 = "BUY", 'American Transactions'!C44,-'American Transactions'!C44))</f>
        <v/>
      </c>
      <c r="D44" s="6" t="str">
        <f>IF('American Transactions'!D44 = "","",IF($B44 = "BUY", 'American Transactions'!D44,-'American Transactions'!D44))</f>
        <v/>
      </c>
      <c r="E44" s="6" t="str">
        <f t="shared" si="0"/>
        <v/>
      </c>
      <c r="F44" s="26"/>
      <c r="G44" s="5" t="str">
        <f t="shared" si="1"/>
        <v/>
      </c>
      <c r="H44" s="5" t="str">
        <f>IF(A44="","",COUNTIF($G$2:G44,G44))</f>
        <v/>
      </c>
      <c r="I44" s="5" t="str">
        <f t="shared" si="13"/>
        <v/>
      </c>
      <c r="J44" s="5" t="str">
        <f>IF(G44="","",IF(COUNTIF($G$2:G44,G44)&gt;1,SUMIF($A$2:A44,G44,$C$2:C44),C44))</f>
        <v/>
      </c>
      <c r="K44" s="6" t="str">
        <f>IF(G44="","",IF(COUNTIF($G$2:G44,G44)&gt;1,SUMIF($A$2:A44,G44,$D$2:D44),D44) +SUMIF($G$2:G44,G44,$M$2:M44))</f>
        <v/>
      </c>
      <c r="L44" s="6" t="str">
        <f t="shared" si="3"/>
        <v/>
      </c>
      <c r="M44" s="31" t="str">
        <f>IF(G44="","",IF(B44 = "BUY", 0,(E44-VLOOKUP(CONCATENATE(G44,(H44-1)),$I$2:L43,4,FALSE))*-C44))</f>
        <v/>
      </c>
    </row>
    <row r="45" spans="1:16" x14ac:dyDescent="0.3">
      <c r="A45" s="4" t="str">
        <f>IF('American Transactions'!A45 = "","",'American Transactions'!A45)</f>
        <v/>
      </c>
      <c r="B45" s="5" t="str">
        <f>IF('American Transactions'!B45 = "","",'American Transactions'!B45)</f>
        <v/>
      </c>
      <c r="C45" s="13" t="str">
        <f>IF('American Transactions'!C45 = "","", IF($B45 = "BUY", 'American Transactions'!C45,-'American Transactions'!C45))</f>
        <v/>
      </c>
      <c r="D45" s="6" t="str">
        <f>IF('American Transactions'!D45 = "","",IF($B45 = "BUY", 'American Transactions'!D45,-'American Transactions'!D45))</f>
        <v/>
      </c>
      <c r="E45" s="6" t="str">
        <f t="shared" si="0"/>
        <v/>
      </c>
      <c r="F45" s="26"/>
      <c r="G45" s="5" t="str">
        <f t="shared" si="1"/>
        <v/>
      </c>
      <c r="H45" s="5" t="str">
        <f>IF(A45="","",COUNTIF($G$2:G45,G45))</f>
        <v/>
      </c>
      <c r="I45" s="5" t="str">
        <f t="shared" si="13"/>
        <v/>
      </c>
      <c r="J45" s="5" t="str">
        <f>IF(G45="","",IF(COUNTIF($G$2:G45,G45)&gt;1,SUMIF($A$2:A45,G45,$C$2:C45),C45))</f>
        <v/>
      </c>
      <c r="K45" s="6" t="str">
        <f>IF(G45="","",IF(COUNTIF($G$2:G45,G45)&gt;1,SUMIF($A$2:A45,G45,$D$2:D45),D45) +SUMIF($G$2:G45,G45,$M$2:M45))</f>
        <v/>
      </c>
      <c r="L45" s="6" t="str">
        <f t="shared" si="3"/>
        <v/>
      </c>
      <c r="M45" s="31" t="str">
        <f>IF(G45="","",IF(B45 = "BUY", 0,(E45-VLOOKUP(CONCATENATE(G45,(H45-1)),$I$2:L44,4,FALSE))*-C45))</f>
        <v/>
      </c>
    </row>
    <row r="46" spans="1:16" x14ac:dyDescent="0.3">
      <c r="A46" s="4" t="str">
        <f>IF('American Transactions'!A46 = "","",'American Transactions'!A46)</f>
        <v/>
      </c>
      <c r="B46" s="5" t="str">
        <f>IF('American Transactions'!B46 = "","",'American Transactions'!B46)</f>
        <v/>
      </c>
      <c r="C46" s="13" t="str">
        <f>IF('American Transactions'!C46 = "","", IF($B46 = "BUY", 'American Transactions'!C46,-'American Transactions'!C46))</f>
        <v/>
      </c>
      <c r="D46" s="6" t="str">
        <f>IF('American Transactions'!D46 = "","",IF($B46 = "BUY", 'American Transactions'!D46,-'American Transactions'!D46))</f>
        <v/>
      </c>
      <c r="E46" s="6" t="str">
        <f t="shared" si="0"/>
        <v/>
      </c>
      <c r="F46" s="26"/>
      <c r="G46" s="5" t="str">
        <f t="shared" si="1"/>
        <v/>
      </c>
      <c r="H46" s="5" t="str">
        <f>IF(A46="","",COUNTIF($G$2:G46,G46))</f>
        <v/>
      </c>
      <c r="I46" s="5" t="str">
        <f t="shared" si="13"/>
        <v/>
      </c>
      <c r="J46" s="5" t="str">
        <f>IF(G46="","",IF(COUNTIF($G$2:G46,G46)&gt;1,SUMIF($A$2:A46,G46,$C$2:C46),C46))</f>
        <v/>
      </c>
      <c r="K46" s="6" t="str">
        <f>IF(G46="","",IF(COUNTIF($G$2:G46,G46)&gt;1,SUMIF($A$2:A46,G46,$D$2:D46),D46) +SUMIF($G$2:G46,G46,$M$2:M46))</f>
        <v/>
      </c>
      <c r="L46" s="6" t="str">
        <f t="shared" si="3"/>
        <v/>
      </c>
      <c r="M46" s="31" t="str">
        <f>IF(G46="","",IF(B46 = "BUY", 0,(E46-VLOOKUP(CONCATENATE(G46,(H46-1)),$I$2:L45,4,FALSE))*-C46))</f>
        <v/>
      </c>
    </row>
    <row r="47" spans="1:16" x14ac:dyDescent="0.3">
      <c r="A47" s="4" t="str">
        <f>IF('American Transactions'!A47 = "","",'American Transactions'!A47)</f>
        <v/>
      </c>
      <c r="B47" s="5" t="str">
        <f>IF('American Transactions'!B47 = "","",'American Transactions'!B47)</f>
        <v/>
      </c>
      <c r="C47" s="13" t="str">
        <f>IF('American Transactions'!C47 = "","", IF($B47 = "BUY", 'American Transactions'!C47,-'American Transactions'!C47))</f>
        <v/>
      </c>
      <c r="D47" s="6" t="str">
        <f>IF('American Transactions'!D47 = "","",IF($B47 = "BUY", 'American Transactions'!D47,-'American Transactions'!D47))</f>
        <v/>
      </c>
      <c r="E47" s="6" t="str">
        <f t="shared" si="0"/>
        <v/>
      </c>
      <c r="F47" s="26"/>
      <c r="G47" s="5" t="str">
        <f t="shared" si="1"/>
        <v/>
      </c>
      <c r="H47" s="5" t="str">
        <f>IF(A47="","",COUNTIF($G$2:G47,G47))</f>
        <v/>
      </c>
      <c r="I47" s="5" t="str">
        <f t="shared" si="13"/>
        <v/>
      </c>
      <c r="J47" s="5" t="str">
        <f>IF(G47="","",IF(COUNTIF($G$2:G47,G47)&gt;1,SUMIF($A$2:A47,G47,$C$2:C47),C47))</f>
        <v/>
      </c>
      <c r="K47" s="6" t="str">
        <f>IF(G47="","",IF(COUNTIF($G$2:G47,G47)&gt;1,SUMIF($A$2:A47,G47,$D$2:D47),D47) +SUMIF($G$2:G47,G47,$M$2:M47))</f>
        <v/>
      </c>
      <c r="L47" s="6" t="str">
        <f t="shared" si="3"/>
        <v/>
      </c>
      <c r="M47" s="31" t="str">
        <f>IF(G47="","",IF(B47 = "BUY", 0,(E47-VLOOKUP(CONCATENATE(G47,(H47-1)),$I$2:L46,4,FALSE))*-C47))</f>
        <v/>
      </c>
    </row>
    <row r="48" spans="1:16" x14ac:dyDescent="0.3">
      <c r="A48" s="4" t="str">
        <f>IF('American Transactions'!A48 = "","",'American Transactions'!A48)</f>
        <v/>
      </c>
      <c r="B48" s="5" t="str">
        <f>IF('American Transactions'!B48 = "","",'American Transactions'!B48)</f>
        <v/>
      </c>
      <c r="C48" s="13" t="str">
        <f>IF('American Transactions'!C48 = "","", IF($B48 = "BUY", 'American Transactions'!C48,-'American Transactions'!C48))</f>
        <v/>
      </c>
      <c r="D48" s="6" t="str">
        <f>IF('American Transactions'!D48 = "","",IF($B48 = "BUY", 'American Transactions'!D48,-'American Transactions'!D48))</f>
        <v/>
      </c>
      <c r="E48" s="6" t="str">
        <f t="shared" si="0"/>
        <v/>
      </c>
      <c r="F48" s="26"/>
      <c r="G48" s="5" t="str">
        <f t="shared" si="1"/>
        <v/>
      </c>
      <c r="H48" s="5" t="str">
        <f>IF(A48="","",COUNTIF($G$2:G48,G48))</f>
        <v/>
      </c>
      <c r="I48" s="5" t="str">
        <f t="shared" si="13"/>
        <v/>
      </c>
      <c r="J48" s="5" t="str">
        <f>IF(G48="","",IF(COUNTIF($G$2:G48,G48)&gt;1,SUMIF($A$2:A48,G48,$C$2:C48),C48))</f>
        <v/>
      </c>
      <c r="K48" s="6" t="str">
        <f>IF(G48="","",IF(COUNTIF($G$2:G48,G48)&gt;1,SUMIF($A$2:A48,G48,$D$2:D48),D48) +SUMIF($G$2:G48,G48,$M$2:M48))</f>
        <v/>
      </c>
      <c r="L48" s="6" t="str">
        <f t="shared" si="3"/>
        <v/>
      </c>
      <c r="M48" s="31" t="str">
        <f>IF(G48="","",IF(B48 = "BUY", 0,(E48-VLOOKUP(CONCATENATE(G48,(H48-1)),$I$2:L47,4,FALSE))*-C48))</f>
        <v/>
      </c>
    </row>
    <row r="49" spans="1:13" x14ac:dyDescent="0.3">
      <c r="A49" s="4" t="str">
        <f>IF('American Transactions'!A49 = "","",'American Transactions'!A49)</f>
        <v/>
      </c>
      <c r="B49" s="5" t="str">
        <f>IF('American Transactions'!B49 = "","",'American Transactions'!B49)</f>
        <v/>
      </c>
      <c r="C49" s="13" t="str">
        <f>IF('American Transactions'!C49 = "","", IF($B49 = "BUY", 'American Transactions'!C49,-'American Transactions'!C49))</f>
        <v/>
      </c>
      <c r="D49" s="6" t="str">
        <f>IF('American Transactions'!D49 = "","",IF($B49 = "BUY", 'American Transactions'!D49,-'American Transactions'!D49))</f>
        <v/>
      </c>
      <c r="E49" s="6" t="str">
        <f t="shared" si="0"/>
        <v/>
      </c>
      <c r="F49" s="26"/>
      <c r="G49" s="5" t="str">
        <f t="shared" si="1"/>
        <v/>
      </c>
      <c r="H49" s="5" t="str">
        <f>IF(A49="","",COUNTIF($G$2:G49,G49))</f>
        <v/>
      </c>
      <c r="I49" s="5" t="str">
        <f t="shared" si="13"/>
        <v/>
      </c>
      <c r="J49" s="5" t="str">
        <f>IF(G49="","",IF(COUNTIF($G$2:G49,G49)&gt;1,SUMIF($A$2:A49,G49,$C$2:C49),C49))</f>
        <v/>
      </c>
      <c r="K49" s="6" t="str">
        <f>IF(G49="","",IF(COUNTIF($G$2:G49,G49)&gt;1,SUMIF($A$2:A49,G49,$D$2:D49),D49) +SUMIF($G$2:G49,G49,$M$2:M49))</f>
        <v/>
      </c>
      <c r="L49" s="6" t="str">
        <f t="shared" si="3"/>
        <v/>
      </c>
      <c r="M49" s="31" t="str">
        <f>IF(G49="","",IF(B49 = "BUY", 0,(E49-VLOOKUP(CONCATENATE(G49,(H49-1)),$I$2:L48,4,FALSE))*-C49))</f>
        <v/>
      </c>
    </row>
    <row r="50" spans="1:13" x14ac:dyDescent="0.3">
      <c r="A50" s="4" t="str">
        <f>IF('American Transactions'!A50 = "","",'American Transactions'!A50)</f>
        <v/>
      </c>
      <c r="B50" s="5" t="str">
        <f>IF('American Transactions'!B50 = "","",'American Transactions'!B50)</f>
        <v/>
      </c>
      <c r="C50" s="13" t="str">
        <f>IF('American Transactions'!C50 = "","", IF($B50 = "BUY", 'American Transactions'!C50,-'American Transactions'!C50))</f>
        <v/>
      </c>
      <c r="D50" s="6" t="str">
        <f>IF('American Transactions'!D50 = "","",IF($B50 = "BUY", 'American Transactions'!D50,-'American Transactions'!D50))</f>
        <v/>
      </c>
      <c r="E50" s="6" t="str">
        <f t="shared" si="0"/>
        <v/>
      </c>
      <c r="F50" s="26"/>
      <c r="G50" s="5" t="str">
        <f t="shared" si="1"/>
        <v/>
      </c>
      <c r="H50" s="5" t="str">
        <f>IF(A50="","",COUNTIF($G$2:G50,G50))</f>
        <v/>
      </c>
      <c r="I50" s="5" t="str">
        <f t="shared" si="13"/>
        <v/>
      </c>
      <c r="J50" s="5" t="str">
        <f>IF(G50="","",IF(COUNTIF($G$2:G50,G50)&gt;1,SUMIF($A$2:A50,G50,$C$2:C50),C50))</f>
        <v/>
      </c>
      <c r="K50" s="6" t="str">
        <f>IF(G50="","",IF(COUNTIF($G$2:G50,G50)&gt;1,SUMIF($A$2:A50,G50,$D$2:D50),D50) +SUMIF($G$2:G50,G50,$M$2:M50))</f>
        <v/>
      </c>
      <c r="L50" s="6" t="str">
        <f t="shared" si="3"/>
        <v/>
      </c>
      <c r="M50" s="31" t="str">
        <f>IF(G50="","",IF(B50 = "BUY", 0,(E50-VLOOKUP(CONCATENATE(G50,(H50-1)),$I$2:L49,4,FALSE))*-C50))</f>
        <v/>
      </c>
    </row>
    <row r="51" spans="1:13" ht="15" thickBot="1" x14ac:dyDescent="0.35">
      <c r="A51" s="7" t="str">
        <f>IF('American Transactions'!A51 = "","",'American Transactions'!A51)</f>
        <v/>
      </c>
      <c r="B51" s="8" t="str">
        <f>IF('American Transactions'!B51 = "","",'American Transactions'!B51)</f>
        <v/>
      </c>
      <c r="C51" s="14" t="str">
        <f>IF('American Transactions'!C51 = "","", IF($B51 = "BUY", 'American Transactions'!C51,-'American Transactions'!C51))</f>
        <v/>
      </c>
      <c r="D51" s="8" t="str">
        <f>IF('Australian Transactions'!D51 = "","",IF($B51 = "BUY", 'Australian Transactions'!D51,-'Australian Transactions'!D51))</f>
        <v/>
      </c>
      <c r="E51" s="9" t="str">
        <f t="shared" si="0"/>
        <v/>
      </c>
      <c r="F51" s="27"/>
      <c r="G51" s="8" t="str">
        <f t="shared" si="1"/>
        <v/>
      </c>
      <c r="H51" s="8" t="str">
        <f>IF(A51="","",COUNTIF($G$2:G51,G51))</f>
        <v/>
      </c>
      <c r="I51" s="8" t="str">
        <f t="shared" si="13"/>
        <v/>
      </c>
      <c r="J51" s="8" t="str">
        <f>IF(G51="","",IF(COUNTIF($G$2:G51,G51)&gt;1,SUMIF($A$2:A51,G51,$C$2:C51),C51))</f>
        <v/>
      </c>
      <c r="K51" s="9" t="str">
        <f>IF(G51="","",IF(COUNTIF($G$2:G51,G51)&gt;1,SUMIF($A$2:A51,G51,$D$2:D51),D51) +SUMIF($G$2:G51,G51,$M$2:M51))</f>
        <v/>
      </c>
      <c r="L51" s="9" t="str">
        <f t="shared" si="3"/>
        <v/>
      </c>
      <c r="M51" s="32" t="str">
        <f>IF(G51="","",IF(B51 = "BUY", 0,(E51-VLOOKUP(CONCATENATE(G51,(H51-1)),$I$2:L50,4,FALSE))*-C51))</f>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EAFD3-5A4C-4E6F-9107-ED061AECD3D5}">
  <sheetPr codeName="Sheet6"/>
  <dimension ref="A1:M22"/>
  <sheetViews>
    <sheetView workbookViewId="0">
      <selection activeCell="E27" sqref="E27"/>
    </sheetView>
  </sheetViews>
  <sheetFormatPr defaultRowHeight="14.4" x14ac:dyDescent="0.3"/>
  <cols>
    <col min="1" max="1" width="11.33203125" customWidth="1"/>
    <col min="2" max="2" width="42.6640625" bestFit="1" customWidth="1"/>
    <col min="3" max="3" width="8.21875" bestFit="1" customWidth="1"/>
    <col min="4" max="4" width="13.21875" bestFit="1" customWidth="1"/>
    <col min="5" max="5" width="11.44140625" customWidth="1"/>
    <col min="6" max="6" width="11.5546875" bestFit="1" customWidth="1"/>
    <col min="7" max="7" width="14.5546875" bestFit="1" customWidth="1"/>
    <col min="8" max="8" width="9.21875" bestFit="1" customWidth="1"/>
    <col min="9" max="9" width="12.21875" bestFit="1" customWidth="1"/>
    <col min="10" max="10" width="13" bestFit="1" customWidth="1"/>
    <col min="11" max="11" width="10.88671875" bestFit="1" customWidth="1"/>
  </cols>
  <sheetData>
    <row r="1" spans="1:13" ht="15" thickBot="1" x14ac:dyDescent="0.35">
      <c r="A1" s="10" t="s">
        <v>71</v>
      </c>
      <c r="B1" s="11" t="s">
        <v>71</v>
      </c>
      <c r="C1" s="11" t="s">
        <v>69</v>
      </c>
      <c r="D1" s="11" t="s">
        <v>95</v>
      </c>
      <c r="E1" s="11" t="s">
        <v>76</v>
      </c>
      <c r="F1" s="11" t="s">
        <v>77</v>
      </c>
      <c r="G1" s="11" t="s">
        <v>78</v>
      </c>
      <c r="H1" s="11" t="s">
        <v>73</v>
      </c>
      <c r="I1" s="11" t="s">
        <v>79</v>
      </c>
      <c r="J1" s="65" t="s">
        <v>80</v>
      </c>
      <c r="K1" s="65" t="s">
        <v>87</v>
      </c>
      <c r="L1" s="66" t="s">
        <v>125</v>
      </c>
    </row>
    <row r="2" spans="1:13" x14ac:dyDescent="0.3">
      <c r="A2" s="1" t="str" cm="1">
        <f t="array" ref="A2:A9">_xlfn.UNIQUE('American Calculations'!U3:U21,FALSE,TRUE)</f>
        <v>AAPL</v>
      </c>
      <c r="B2" s="2" t="e" vm="7">
        <v>#VALUE!</v>
      </c>
      <c r="C2" s="2">
        <f>IF(A2="","",SUMIF('American Calculations'!$U$2:$U$21,'American Portfolio'!A2,'American Calculations'!$W$2:$W$21))</f>
        <v>0.58768887000000003</v>
      </c>
      <c r="D2" s="3">
        <f>IF(A2="","",SUMIF('American Calculations'!$U$2:$U$21,'American Portfolio'!A2,'American Calculations'!$Y$2:$Y$21))</f>
        <v>284.1639658753449</v>
      </c>
      <c r="E2" s="46" cm="1">
        <f t="array" ref="E2">IF(A2="","",_FV(B2,"Price"))</f>
        <v>393.43</v>
      </c>
      <c r="F2" s="47" cm="1">
        <f t="array" ref="F2">IF(A2="","",_FV(B2,"Change"))</f>
        <v>8.1199999999999992</v>
      </c>
      <c r="G2" s="47">
        <f>IFERROR(F2*C2,"")</f>
        <v>4.7720336243999997</v>
      </c>
      <c r="H2" s="3">
        <f>IF(A2="","",SUMIF('American Calculations'!$U$2:$U$21,'American Portfolio'!A2,'American Calculations'!$X$2:$X$21))</f>
        <v>167</v>
      </c>
      <c r="I2" s="46">
        <f>IFERROR(E2*C2,"")</f>
        <v>231.21443212410003</v>
      </c>
      <c r="J2" s="46">
        <f>IFERROR(I2-H2,"")</f>
        <v>64.214432124100028</v>
      </c>
      <c r="K2" s="47">
        <f>IF(A2="","",SUMIF('American Calculations'!$U$2:$U$21,'American Portfolio'!A2,'American Calculations'!$V$2:$V$21))</f>
        <v>0</v>
      </c>
      <c r="L2" s="70">
        <f>IF(A2="","",SUMIF(Dividend!A1:A289,'American Portfolio'!A2,Dividend!B1:B289))</f>
        <v>0.62</v>
      </c>
    </row>
    <row r="3" spans="1:13" x14ac:dyDescent="0.3">
      <c r="A3" s="4" t="str">
        <v>AMZN</v>
      </c>
      <c r="B3" s="5" t="e" vm="8">
        <v>#VALUE!</v>
      </c>
      <c r="C3" s="5">
        <f>IF(A3="","",SUMIF('American Calculations'!$U$2:$U$21,'American Portfolio'!A3,'American Calculations'!$W$2:$W$21))</f>
        <v>7.9299999999999995E-2</v>
      </c>
      <c r="D3" s="6">
        <f>IF(A3="","",SUMIF('American Calculations'!$U$2:$U$21,'American Portfolio'!A3,'American Calculations'!$Y$2:$Y$21))</f>
        <v>1826.718789407314</v>
      </c>
      <c r="E3" s="15" cm="1">
        <f t="array" ref="E3">IF(A3="","",_FV(B3,"Price"))</f>
        <v>3196.84</v>
      </c>
      <c r="F3" s="16" cm="1">
        <f t="array" ref="F3">IF(A3="","",_FV(B3,"Change"))</f>
        <v>234.87</v>
      </c>
      <c r="G3" s="16">
        <f t="shared" ref="G3:G21" si="0">IFERROR(F3*C3,"")</f>
        <v>18.625191000000001</v>
      </c>
      <c r="H3" s="6">
        <f>IF(A3="","",SUMIF('American Calculations'!$U$2:$U$21,'American Portfolio'!A3,'American Calculations'!$X$2:$X$21))</f>
        <v>144.8588</v>
      </c>
      <c r="I3" s="15">
        <f t="shared" ref="I3:I20" si="1">IFERROR(E3*C3,"")</f>
        <v>253.509412</v>
      </c>
      <c r="J3" s="15">
        <f t="shared" ref="J3:J20" si="2">IFERROR(I3-H3,"")</f>
        <v>108.650612</v>
      </c>
      <c r="K3" s="16">
        <f>IF(A3="","",SUMIF('American Calculations'!$U$2:$U$21,'American Portfolio'!A3,'American Calculations'!$V$2:$V$21))</f>
        <v>0</v>
      </c>
      <c r="L3" s="71">
        <f>IF(A3="","",SUMIF(Dividend!$A$1:$A$289,'American Portfolio'!A3,Dividend!$B$1:$B$289))</f>
        <v>0</v>
      </c>
      <c r="M3" s="78"/>
    </row>
    <row r="4" spans="1:13" x14ac:dyDescent="0.3">
      <c r="A4" s="4" t="str">
        <v>BABA</v>
      </c>
      <c r="B4" s="5" t="e" vm="9">
        <v>#VALUE!</v>
      </c>
      <c r="C4" s="5">
        <f>IF(A4="","",SUMIF('American Calculations'!$U$2:$U$21,'American Portfolio'!A4,'American Calculations'!$W$2:$W$21))</f>
        <v>0.22550000000000001</v>
      </c>
      <c r="D4" s="6">
        <f>IF(A4="","",SUMIF('American Calculations'!$U$2:$U$21,'American Portfolio'!A4,'American Calculations'!$Y$2:$Y$21))</f>
        <v>210.64301552106429</v>
      </c>
      <c r="E4" s="15" cm="1">
        <f t="array" ref="E4">IF(A4="","",_FV(B4,"Price"))</f>
        <v>254.81</v>
      </c>
      <c r="F4" s="16" cm="1">
        <f t="array" ref="F4">IF(A4="","",_FV(B4,"Change"))</f>
        <v>7.67</v>
      </c>
      <c r="G4" s="16">
        <f t="shared" si="0"/>
        <v>1.7295849999999999</v>
      </c>
      <c r="H4" s="6">
        <f>IF(A4="","",SUMIF('American Calculations'!$U$2:$U$21,'American Portfolio'!A4,'American Calculations'!$X$2:$X$21))</f>
        <v>47.5</v>
      </c>
      <c r="I4" s="15">
        <f t="shared" si="1"/>
        <v>57.459655000000005</v>
      </c>
      <c r="J4" s="15">
        <f t="shared" si="2"/>
        <v>9.959655000000005</v>
      </c>
      <c r="K4" s="16">
        <f>IF(A4="","",SUMIF('American Calculations'!$U$2:$U$21,'American Portfolio'!A4,'American Calculations'!$V$2:$V$21))</f>
        <v>0</v>
      </c>
      <c r="L4" s="71">
        <f>IF(A4="","",SUMIF(Dividend!$A$1:$A$289,'American Portfolio'!A4,Dividend!$B$1:$B$289))</f>
        <v>0</v>
      </c>
    </row>
    <row r="5" spans="1:13" x14ac:dyDescent="0.3">
      <c r="A5" s="4" t="str">
        <v>BHP</v>
      </c>
      <c r="B5" s="17" t="e" vm="10">
        <v>#VALUE!</v>
      </c>
      <c r="C5" s="5">
        <f>IF(A5="","",SUMIF('American Calculations'!$U$2:$U$21,'American Portfolio'!A5,'American Calculations'!$W$2:$W$21))</f>
        <v>1</v>
      </c>
      <c r="D5" s="6">
        <f>IF(A5="","",SUMIF('American Calculations'!$U$2:$U$21,'American Portfolio'!A5,'American Calculations'!$Y$2:$Y$21))</f>
        <v>51.6357</v>
      </c>
      <c r="E5" s="15" cm="1">
        <f t="array" ref="E5">IF(A5="","",_FV(B5,"Price"))</f>
        <v>53.59</v>
      </c>
      <c r="F5" s="16" cm="1">
        <f t="array" ref="F5">IF(A5="","",_FV(B5,"Change"))</f>
        <v>-0.25</v>
      </c>
      <c r="G5" s="16">
        <f t="shared" si="0"/>
        <v>-0.25</v>
      </c>
      <c r="H5" s="6">
        <f>IF(A5="","",SUMIF('American Calculations'!$U$2:$U$21,'American Portfolio'!A5,'American Calculations'!$X$2:$X$21))</f>
        <v>51.6357</v>
      </c>
      <c r="I5" s="15">
        <f t="shared" si="1"/>
        <v>53.59</v>
      </c>
      <c r="J5" s="15">
        <f t="shared" si="2"/>
        <v>1.9543000000000035</v>
      </c>
      <c r="K5" s="16">
        <f>IF(A5="","",SUMIF('American Calculations'!$U$2:$U$21,'American Portfolio'!A5,'American Calculations'!$V$2:$V$21))</f>
        <v>0</v>
      </c>
      <c r="L5" s="71">
        <f>IF(A5="","",SUMIF(Dividend!$A$1:$A$289,'American Portfolio'!A5,Dividend!$B$1:$B$289))</f>
        <v>1.3</v>
      </c>
    </row>
    <row r="6" spans="1:13" x14ac:dyDescent="0.3">
      <c r="A6" s="4" t="str">
        <v>GOOGL</v>
      </c>
      <c r="B6" s="17" t="e" vm="11">
        <v>#VALUE!</v>
      </c>
      <c r="C6" s="5">
        <f>IF(A6="","",SUMIF('American Calculations'!$U$2:$U$21,'American Portfolio'!A6,'American Calculations'!$W$2:$W$21))</f>
        <v>0.14734715999999998</v>
      </c>
      <c r="D6" s="6">
        <f>IF(A6="","",SUMIF('American Calculations'!$U$2:$U$21,'American Portfolio'!A6,'American Calculations'!$Y$2:$Y$21))</f>
        <v>1316.0755863906711</v>
      </c>
      <c r="E6" s="15" cm="1">
        <f t="array" ref="E6">IF(A6="","",_FV(B6,"Price"))</f>
        <v>1563.84</v>
      </c>
      <c r="F6" s="16" cm="1">
        <f t="array" ref="F6">IF(A6="","",_FV(B6,"Change"))</f>
        <v>46.99</v>
      </c>
      <c r="G6" s="16">
        <f t="shared" si="0"/>
        <v>6.9238430483999993</v>
      </c>
      <c r="H6" s="6">
        <f>IF(A6="","",SUMIF('American Calculations'!$U$2:$U$21,'American Portfolio'!A6,'American Calculations'!$X$2:$X$21))</f>
        <v>193.92000000000002</v>
      </c>
      <c r="I6" s="15">
        <f t="shared" si="1"/>
        <v>230.42738269439994</v>
      </c>
      <c r="J6" s="15">
        <f t="shared" si="2"/>
        <v>36.507382694399922</v>
      </c>
      <c r="K6" s="16">
        <f>IF(A6="","",SUMIF('American Calculations'!$U$2:$U$21,'American Portfolio'!A6,'American Calculations'!$V$2:$V$21))</f>
        <v>0</v>
      </c>
      <c r="L6" s="71">
        <f>IF(A6="","",SUMIF(Dividend!$A$1:$A$289,'American Portfolio'!A6,Dividend!$B$1:$B$289))</f>
        <v>0</v>
      </c>
    </row>
    <row r="7" spans="1:13" x14ac:dyDescent="0.3">
      <c r="A7" s="4" t="str">
        <v>MSFT</v>
      </c>
      <c r="B7" s="17" t="e" vm="12">
        <v>#VALUE!</v>
      </c>
      <c r="C7" s="5">
        <f>IF(A7="","",SUMIF('American Calculations'!$U$2:$U$21,'American Portfolio'!A7,'American Calculations'!$W$2:$W$21))</f>
        <v>1.0729766199999999</v>
      </c>
      <c r="D7" s="6">
        <f>IF(A7="","",SUMIF('American Calculations'!$U$2:$U$21,'American Portfolio'!A7,'American Calculations'!$Y$2:$Y$21))</f>
        <v>158.21407180335393</v>
      </c>
      <c r="E7" s="15" cm="1">
        <f t="array" ref="E7">IF(A7="","",_FV(B7,"Price"))</f>
        <v>211.6</v>
      </c>
      <c r="F7" s="16" cm="1">
        <f t="array" ref="F7">IF(A7="","",_FV(B7,"Change"))</f>
        <v>8.7200000000000006</v>
      </c>
      <c r="G7" s="16">
        <f t="shared" si="0"/>
        <v>9.3563561263999997</v>
      </c>
      <c r="H7" s="6">
        <f>IF(A7="","",SUMIF('American Calculations'!$U$2:$U$21,'American Portfolio'!A7,'American Calculations'!$X$2:$X$21))</f>
        <v>169.76</v>
      </c>
      <c r="I7" s="15">
        <f t="shared" si="1"/>
        <v>227.04185279199999</v>
      </c>
      <c r="J7" s="15">
        <f t="shared" si="2"/>
        <v>57.281852791999995</v>
      </c>
      <c r="K7" s="16">
        <f>IF(A7="","",SUMIF('American Calculations'!$U$2:$U$21,'American Portfolio'!A7,'American Calculations'!$V$2:$V$21))</f>
        <v>0</v>
      </c>
      <c r="L7" s="71">
        <f>IF(A7="","",SUMIF(Dividend!$A$1:$A$289,'American Portfolio'!A7,Dividend!$B$1:$B$289))</f>
        <v>0.73</v>
      </c>
    </row>
    <row r="8" spans="1:13" x14ac:dyDescent="0.3">
      <c r="A8" s="4" t="str">
        <v>RIO</v>
      </c>
      <c r="B8" s="17" t="e" vm="13">
        <v>#VALUE!</v>
      </c>
      <c r="C8" s="5">
        <f>IF(A8="","",SUMIF('American Calculations'!$U$2:$U$21,'American Portfolio'!A8,'American Calculations'!$W$2:$W$21))</f>
        <v>1</v>
      </c>
      <c r="D8" s="6">
        <f>IF(A8="","",SUMIF('American Calculations'!$U$2:$U$21,'American Portfolio'!A8,'American Calculations'!$Y$2:$Y$21))</f>
        <v>55.833500000000001</v>
      </c>
      <c r="E8" s="15" cm="1">
        <f t="array" ref="E8">IF(A8="","",_FV(B8,"Price"))</f>
        <v>62.42</v>
      </c>
      <c r="F8" s="16" cm="1">
        <f t="array" ref="F8">IF(A8="","",_FV(B8,"Change"))</f>
        <v>0.27</v>
      </c>
      <c r="G8" s="16">
        <f t="shared" si="0"/>
        <v>0.27</v>
      </c>
      <c r="H8" s="6">
        <f>IF(A8="","",SUMIF('American Calculations'!$U$2:$U$21,'American Portfolio'!A8,'American Calculations'!$X$2:$X$21))</f>
        <v>55.833500000000001</v>
      </c>
      <c r="I8" s="15">
        <f t="shared" si="1"/>
        <v>62.42</v>
      </c>
      <c r="J8" s="15">
        <f t="shared" si="2"/>
        <v>6.5865000000000009</v>
      </c>
      <c r="K8" s="16">
        <f>IF(A8="","",SUMIF('American Calculations'!$U$2:$U$21,'American Portfolio'!A8,'American Calculations'!$V$2:$V$21))</f>
        <v>0</v>
      </c>
      <c r="L8" s="71">
        <f>IF(A8="","",SUMIF(Dividend!$A$1:$A$289,'American Portfolio'!A8,Dividend!$B$1:$B$289))</f>
        <v>2.31</v>
      </c>
    </row>
    <row r="9" spans="1:13" x14ac:dyDescent="0.3">
      <c r="A9" s="4" t="str">
        <v>SQ</v>
      </c>
      <c r="B9" s="5" t="e" vm="14">
        <v>#VALUE!</v>
      </c>
      <c r="C9" s="5">
        <f>IF(A9="","",SUMIF('American Calculations'!$U$2:$U$21,'American Portfolio'!A9,'American Calculations'!$W$2:$W$21))</f>
        <v>1.0056965</v>
      </c>
      <c r="D9" s="6">
        <f>IF(A9="","",SUMIF('American Calculations'!$U$2:$U$21,'American Portfolio'!A9,'American Calculations'!$Y$2:$Y$21))</f>
        <v>69.424920937877388</v>
      </c>
      <c r="E9" s="15" cm="1">
        <f t="array" ref="E9">IF(A9="","",_FV(B9,"Price"))</f>
        <v>128.38999999999999</v>
      </c>
      <c r="F9" s="16" cm="1">
        <f t="array" ref="F9">IF(A9="","",_FV(B9,"Change"))</f>
        <v>7.66</v>
      </c>
      <c r="G9" s="16">
        <f t="shared" si="0"/>
        <v>7.70363519</v>
      </c>
      <c r="H9" s="6">
        <f>IF(A9="","",SUMIF('American Calculations'!$U$2:$U$21,'American Portfolio'!A9,'American Calculations'!$X$2:$X$21))</f>
        <v>69.820400000000006</v>
      </c>
      <c r="I9" s="15">
        <f t="shared" si="1"/>
        <v>129.121373635</v>
      </c>
      <c r="J9" s="15">
        <f t="shared" si="2"/>
        <v>59.300973634999991</v>
      </c>
      <c r="K9" s="16">
        <f>IF(A9="","",SUMIF('American Calculations'!$U$2:$U$21,'American Portfolio'!A9,'American Calculations'!$V$2:$V$21))</f>
        <v>0</v>
      </c>
      <c r="L9" s="71">
        <f>IF(A9="","",SUMIF(Dividend!$A$1:$A$289,'American Portfolio'!A9,Dividend!$B$1:$B$289))</f>
        <v>0</v>
      </c>
    </row>
    <row r="10" spans="1:13" x14ac:dyDescent="0.3">
      <c r="A10" s="4"/>
      <c r="B10" s="5"/>
      <c r="C10" s="5" t="str">
        <f>IF(A10="","",SUMIF('American Calculations'!$U$2:$U$21,'American Portfolio'!A10,'American Calculations'!$W$2:$W$21))</f>
        <v/>
      </c>
      <c r="D10" s="6" t="str">
        <f>IF(A10="","",SUMIF('American Calculations'!$U$2:$U$21,'American Portfolio'!A10,'American Calculations'!$Y$2:$Y$21))</f>
        <v/>
      </c>
      <c r="E10" s="15" t="str" cm="1">
        <f t="array" ref="E10">IF(A10="","",_FV(B10,"Price"))</f>
        <v/>
      </c>
      <c r="F10" s="16" t="str" cm="1">
        <f t="array" ref="F10">IF(A10="","",_FV(B10,"Change"))</f>
        <v/>
      </c>
      <c r="G10" s="16" t="str">
        <f t="shared" si="0"/>
        <v/>
      </c>
      <c r="H10" s="6" t="str">
        <f>IF(A10="","",SUMIF('American Calculations'!$U$2:$U$21,'American Portfolio'!A10,'American Calculations'!$X$2:$X$21))</f>
        <v/>
      </c>
      <c r="I10" s="15" t="str">
        <f t="shared" si="1"/>
        <v/>
      </c>
      <c r="J10" s="15" t="str">
        <f t="shared" si="2"/>
        <v/>
      </c>
      <c r="K10" s="16" t="str">
        <f>IF(A10="","",SUMIF('American Calculations'!$U$2:$U$21,'American Portfolio'!A10,'American Calculations'!$V$2:$V$21))</f>
        <v/>
      </c>
      <c r="L10" s="71" t="str">
        <f>IF(A10="","",SUMIF(Dividend!$A$1:$A$289,'American Portfolio'!A10,Dividend!$B$1:$B$289))</f>
        <v/>
      </c>
    </row>
    <row r="11" spans="1:13" x14ac:dyDescent="0.3">
      <c r="A11" s="4"/>
      <c r="B11" s="5"/>
      <c r="C11" s="5" t="str">
        <f>IF(A11="","",SUMIF('American Calculations'!$U$2:$U$21,'American Portfolio'!A11,'American Calculations'!$W$2:$W$21))</f>
        <v/>
      </c>
      <c r="D11" s="6" t="str">
        <f>IF(A11="","",SUMIF('American Calculations'!$U$2:$U$21,'American Portfolio'!A11,'American Calculations'!$Y$2:$Y$21))</f>
        <v/>
      </c>
      <c r="E11" s="15" t="str" cm="1">
        <f t="array" ref="E11">IF(A11="","",_FV(B11,"Price"))</f>
        <v/>
      </c>
      <c r="F11" s="16" t="str" cm="1">
        <f t="array" ref="F11">IF(A11="","",_FV(B11,"Change"))</f>
        <v/>
      </c>
      <c r="G11" s="16" t="str">
        <f t="shared" si="0"/>
        <v/>
      </c>
      <c r="H11" s="6" t="str">
        <f>IF(A11="","",SUMIF('American Calculations'!$U$2:$U$21,'American Portfolio'!A11,'American Calculations'!$X$2:$X$21))</f>
        <v/>
      </c>
      <c r="I11" s="15" t="str">
        <f t="shared" si="1"/>
        <v/>
      </c>
      <c r="J11" s="15" t="str">
        <f t="shared" si="2"/>
        <v/>
      </c>
      <c r="K11" s="16" t="str">
        <f>IF(A11="","",SUMIF('American Calculations'!$U$2:$U$21,'American Portfolio'!A11,'American Calculations'!$V$2:$V$21))</f>
        <v/>
      </c>
      <c r="L11" s="71" t="str">
        <f>IF(A11="","",SUMIF(Dividend!$A$1:$A$289,'American Portfolio'!A11,Dividend!$B$1:$B$289))</f>
        <v/>
      </c>
    </row>
    <row r="12" spans="1:13" x14ac:dyDescent="0.3">
      <c r="A12" s="4"/>
      <c r="B12" s="5"/>
      <c r="C12" s="5" t="str">
        <f>IF(A12="","",SUMIF('American Calculations'!$U$2:$U$21,'American Portfolio'!A12,'American Calculations'!$W$2:$W$21))</f>
        <v/>
      </c>
      <c r="D12" s="6" t="str">
        <f>IF(A12="","",SUMIF('American Calculations'!$U$2:$U$21,'American Portfolio'!A12,'American Calculations'!$Y$2:$Y$21))</f>
        <v/>
      </c>
      <c r="E12" s="15" t="str" cm="1">
        <f t="array" ref="E12">IF(A12="","",_FV(B12,"Price"))</f>
        <v/>
      </c>
      <c r="F12" s="16" t="str" cm="1">
        <f t="array" ref="F12">IF(A12="","",_FV(B12,"Change"))</f>
        <v/>
      </c>
      <c r="G12" s="16" t="str">
        <f t="shared" si="0"/>
        <v/>
      </c>
      <c r="H12" s="6" t="str">
        <f>IF(A12="","",SUMIF('American Calculations'!$U$2:$U$21,'American Portfolio'!A12,'American Calculations'!$X$2:$X$21))</f>
        <v/>
      </c>
      <c r="I12" s="15" t="str">
        <f t="shared" si="1"/>
        <v/>
      </c>
      <c r="J12" s="15" t="str">
        <f t="shared" si="2"/>
        <v/>
      </c>
      <c r="K12" s="16" t="str">
        <f>IF(A12="","",SUMIF('American Calculations'!$U$2:$U$21,'American Portfolio'!A12,'American Calculations'!$V$2:$V$21))</f>
        <v/>
      </c>
      <c r="L12" s="71" t="str">
        <f>IF(A12="","",SUMIF(Dividend!$A$1:$A$289,'American Portfolio'!A12,Dividend!$B$1:$B$289))</f>
        <v/>
      </c>
    </row>
    <row r="13" spans="1:13" x14ac:dyDescent="0.3">
      <c r="A13" s="4"/>
      <c r="B13" s="5"/>
      <c r="C13" s="5" t="str">
        <f>IF(A13="","",SUMIF('American Calculations'!$U$2:$U$21,'American Portfolio'!A13,'American Calculations'!$W$2:$W$21))</f>
        <v/>
      </c>
      <c r="D13" s="6" t="str">
        <f>IF(A13="","",SUMIF('American Calculations'!$U$2:$U$21,'American Portfolio'!A13,'American Calculations'!$Y$2:$Y$21))</f>
        <v/>
      </c>
      <c r="E13" s="15" t="str" cm="1">
        <f t="array" ref="E13">IF(A13="","",_FV(B13,"Price"))</f>
        <v/>
      </c>
      <c r="F13" s="16" t="str" cm="1">
        <f t="array" ref="F13">IF(A13="","",_FV(B13,"Change"))</f>
        <v/>
      </c>
      <c r="G13" s="16" t="str">
        <f t="shared" si="0"/>
        <v/>
      </c>
      <c r="H13" s="6" t="str">
        <f>IF(A13="","",SUMIF('American Calculations'!$U$2:$U$21,'American Portfolio'!A13,'American Calculations'!$X$2:$X$21))</f>
        <v/>
      </c>
      <c r="I13" s="15" t="str">
        <f t="shared" si="1"/>
        <v/>
      </c>
      <c r="J13" s="15" t="str">
        <f t="shared" si="2"/>
        <v/>
      </c>
      <c r="K13" s="16" t="str">
        <f>IF(A13="","",SUMIF('American Calculations'!$U$2:$U$21,'American Portfolio'!A13,'American Calculations'!$V$2:$V$21))</f>
        <v/>
      </c>
      <c r="L13" s="71" t="str">
        <f>IF(A13="","",SUMIF(Dividend!$A$1:$A$289,'American Portfolio'!A13,Dividend!$B$1:$B$289))</f>
        <v/>
      </c>
    </row>
    <row r="14" spans="1:13" x14ac:dyDescent="0.3">
      <c r="A14" s="4"/>
      <c r="B14" s="5"/>
      <c r="C14" s="5" t="str">
        <f>IF(A14="","",SUMIF('American Calculations'!$U$2:$U$21,'American Portfolio'!A14,'American Calculations'!$W$2:$W$21))</f>
        <v/>
      </c>
      <c r="D14" s="6" t="str">
        <f>IF(A14="","",SUMIF('American Calculations'!$U$2:$U$21,'American Portfolio'!A14,'American Calculations'!$Y$2:$Y$21))</f>
        <v/>
      </c>
      <c r="E14" s="15" t="str" cm="1">
        <f t="array" ref="E14">IF(A14="","",_FV(B14,"Price"))</f>
        <v/>
      </c>
      <c r="F14" s="16" t="str" cm="1">
        <f t="array" ref="F14">IF(A14="","",_FV(B14,"Change"))</f>
        <v/>
      </c>
      <c r="G14" s="16" t="str">
        <f t="shared" si="0"/>
        <v/>
      </c>
      <c r="H14" s="6" t="str">
        <f>IF(A14="","",SUMIF('American Calculations'!$U$2:$U$21,'American Portfolio'!A14,'American Calculations'!$X$2:$X$21))</f>
        <v/>
      </c>
      <c r="I14" s="15" t="str">
        <f t="shared" si="1"/>
        <v/>
      </c>
      <c r="J14" s="15" t="str">
        <f t="shared" si="2"/>
        <v/>
      </c>
      <c r="K14" s="16" t="str">
        <f>IF(A14="","",SUMIF('American Calculations'!$U$2:$U$21,'American Portfolio'!A14,'American Calculations'!$V$2:$V$21))</f>
        <v/>
      </c>
      <c r="L14" s="71" t="str">
        <f>IF(A14="","",SUMIF(Dividend!$A$1:$A$289,'American Portfolio'!A14,Dividend!$B$1:$B$289))</f>
        <v/>
      </c>
    </row>
    <row r="15" spans="1:13" x14ac:dyDescent="0.3">
      <c r="A15" s="4" t="str">
        <f>IF('American Calculations'!O15="","",'American Calculations'!O15)</f>
        <v/>
      </c>
      <c r="B15" s="5" t="s">
        <v>101</v>
      </c>
      <c r="C15" s="5" t="str">
        <f>IF(A15="","",SUMIF('American Calculations'!$U$2:$U$21,'American Portfolio'!A15,'American Calculations'!$W$2:$W$21))</f>
        <v/>
      </c>
      <c r="D15" s="6" t="str">
        <f>IF(A15="","",SUMIF('American Calculations'!$U$2:$U$21,'American Portfolio'!A15,'American Calculations'!$Y$2:$Y$21))</f>
        <v/>
      </c>
      <c r="E15" s="15" t="str" cm="1">
        <f t="array" ref="E15">IF(A15="","",_FV(B15,"Price"))</f>
        <v/>
      </c>
      <c r="F15" s="16" t="str" cm="1">
        <f t="array" ref="F15">IF(A15="","",_FV(B15,"Change"))</f>
        <v/>
      </c>
      <c r="G15" s="16" t="str">
        <f t="shared" si="0"/>
        <v/>
      </c>
      <c r="H15" s="6" t="str">
        <f>IF(A15="","",SUMIF('American Calculations'!$U$2:$U$21,'American Portfolio'!A15,'American Calculations'!$X$2:$X$21))</f>
        <v/>
      </c>
      <c r="I15" s="15" t="str">
        <f t="shared" si="1"/>
        <v/>
      </c>
      <c r="J15" s="15" t="str">
        <f t="shared" si="2"/>
        <v/>
      </c>
      <c r="K15" s="16" t="str">
        <f>IF(A15="","",SUMIF('American Calculations'!$U$2:$U$21,'American Portfolio'!A15,'American Calculations'!$V$2:$V$21))</f>
        <v/>
      </c>
      <c r="L15" s="71" t="str">
        <f>IF(A15="","",SUMIF(Dividend!$A$1:$A$289,'American Portfolio'!A15,Dividend!$B$1:$B$289))</f>
        <v/>
      </c>
    </row>
    <row r="16" spans="1:13" x14ac:dyDescent="0.3">
      <c r="A16" s="4" t="str">
        <f>IF('American Calculations'!O16="","",'American Calculations'!O16)</f>
        <v/>
      </c>
      <c r="B16" s="5" t="s">
        <v>101</v>
      </c>
      <c r="C16" s="5" t="str">
        <f>IF(A16="","",SUMIF('American Calculations'!$U$2:$U$21,'American Portfolio'!A16,'American Calculations'!$W$2:$W$21))</f>
        <v/>
      </c>
      <c r="D16" s="6" t="str">
        <f>IF(A16="","",SUMIF('American Calculations'!$U$2:$U$21,'American Portfolio'!A16,'American Calculations'!$Y$2:$Y$21))</f>
        <v/>
      </c>
      <c r="E16" s="15" t="str" cm="1">
        <f t="array" ref="E16">IF(A16="","",_FV(B16,"Price"))</f>
        <v/>
      </c>
      <c r="F16" s="16" t="str" cm="1">
        <f t="array" ref="F16">IF(A16="","",_FV(B16,"Change"))</f>
        <v/>
      </c>
      <c r="G16" s="16" t="str">
        <f t="shared" si="0"/>
        <v/>
      </c>
      <c r="H16" s="6" t="str">
        <f>IF(A16="","",SUMIF('American Calculations'!$U$2:$U$21,'American Portfolio'!A16,'American Calculations'!$X$2:$X$21))</f>
        <v/>
      </c>
      <c r="I16" s="15" t="str">
        <f t="shared" si="1"/>
        <v/>
      </c>
      <c r="J16" s="15" t="str">
        <f t="shared" si="2"/>
        <v/>
      </c>
      <c r="K16" s="16" t="str">
        <f>IF(A16="","",SUMIF('American Calculations'!$U$2:$U$21,'American Portfolio'!A16,'American Calculations'!$V$2:$V$21))</f>
        <v/>
      </c>
      <c r="L16" s="71" t="str">
        <f>IF(A16="","",SUMIF(Dividend!$A$1:$A$289,'American Portfolio'!A16,Dividend!$B$1:$B$289))</f>
        <v/>
      </c>
    </row>
    <row r="17" spans="1:12" x14ac:dyDescent="0.3">
      <c r="A17" s="4" t="str">
        <f>IF('American Calculations'!O17="","",'American Calculations'!O17)</f>
        <v/>
      </c>
      <c r="B17" s="5" t="s">
        <v>101</v>
      </c>
      <c r="C17" s="5" t="str">
        <f>IF(A17="","",SUMIF('American Calculations'!$U$2:$U$21,'American Portfolio'!A17,'American Calculations'!$W$2:$W$21))</f>
        <v/>
      </c>
      <c r="D17" s="6" t="str">
        <f>IF(A17="","",SUMIF('American Calculations'!$U$2:$U$21,'American Portfolio'!A17,'American Calculations'!$Y$2:$Y$21))</f>
        <v/>
      </c>
      <c r="E17" s="15" t="str" cm="1">
        <f t="array" ref="E17">IF(A17="","",_FV(B17,"Price"))</f>
        <v/>
      </c>
      <c r="F17" s="16" t="str" cm="1">
        <f t="array" ref="F17">IF(A17="","",_FV(B17,"Change"))</f>
        <v/>
      </c>
      <c r="G17" s="16" t="str">
        <f t="shared" si="0"/>
        <v/>
      </c>
      <c r="H17" s="6" t="str">
        <f>IF(A17="","",SUMIF('American Calculations'!$U$2:$U$21,'American Portfolio'!A17,'American Calculations'!$X$2:$X$21))</f>
        <v/>
      </c>
      <c r="I17" s="15" t="str">
        <f t="shared" si="1"/>
        <v/>
      </c>
      <c r="J17" s="15" t="str">
        <f t="shared" si="2"/>
        <v/>
      </c>
      <c r="K17" s="16" t="str">
        <f>IF(A17="","",SUMIF('American Calculations'!$U$2:$U$21,'American Portfolio'!A17,'American Calculations'!$V$2:$V$21))</f>
        <v/>
      </c>
      <c r="L17" s="71" t="str">
        <f>IF(A17="","",SUMIF(Dividend!$A$1:$A$289,'American Portfolio'!A17,Dividend!$B$1:$B$289))</f>
        <v/>
      </c>
    </row>
    <row r="18" spans="1:12" x14ac:dyDescent="0.3">
      <c r="A18" s="4" t="str">
        <f>IF('American Calculations'!O18="","",'American Calculations'!O18)</f>
        <v/>
      </c>
      <c r="B18" s="5" t="s">
        <v>101</v>
      </c>
      <c r="C18" s="5" t="str">
        <f>IF(A18="","",SUMIF('American Calculations'!$U$2:$U$21,'American Portfolio'!A18,'American Calculations'!$W$2:$W$21))</f>
        <v/>
      </c>
      <c r="D18" s="6" t="str">
        <f>IF(A18="","",SUMIF('American Calculations'!$U$2:$U$21,'American Portfolio'!A18,'American Calculations'!$Y$2:$Y$21))</f>
        <v/>
      </c>
      <c r="E18" s="15" t="str" cm="1">
        <f t="array" ref="E18">IF(A18="","",_FV(B18,"Price"))</f>
        <v/>
      </c>
      <c r="F18" s="16" t="str" cm="1">
        <f t="array" ref="F18">IF(A18="","",_FV(B18,"Change"))</f>
        <v/>
      </c>
      <c r="G18" s="16" t="str">
        <f t="shared" si="0"/>
        <v/>
      </c>
      <c r="H18" s="6" t="str">
        <f>IF(A18="","",SUMIF('American Calculations'!$U$2:$U$21,'American Portfolio'!A18,'American Calculations'!$X$2:$X$21))</f>
        <v/>
      </c>
      <c r="I18" s="15" t="str">
        <f t="shared" si="1"/>
        <v/>
      </c>
      <c r="J18" s="15" t="str">
        <f t="shared" si="2"/>
        <v/>
      </c>
      <c r="K18" s="16" t="str">
        <f>IF(A18="","",SUMIF('American Calculations'!$U$2:$U$21,'American Portfolio'!A18,'American Calculations'!$V$2:$V$21))</f>
        <v/>
      </c>
      <c r="L18" s="71" t="str">
        <f>IF(A18="","",SUMIF(Dividend!$A$1:$A$289,'American Portfolio'!A18,Dividend!$B$1:$B$289))</f>
        <v/>
      </c>
    </row>
    <row r="19" spans="1:12" x14ac:dyDescent="0.3">
      <c r="A19" s="4" t="str">
        <f>IF('American Calculations'!O19="","",'American Calculations'!O19)</f>
        <v/>
      </c>
      <c r="B19" s="5" t="s">
        <v>101</v>
      </c>
      <c r="C19" s="5" t="str">
        <f>IF(A19="","",SUMIF('American Calculations'!$U$2:$U$21,'American Portfolio'!A19,'American Calculations'!$W$2:$W$21))</f>
        <v/>
      </c>
      <c r="D19" s="6" t="str">
        <f>IF(A19="","",SUMIF('American Calculations'!$U$2:$U$21,'American Portfolio'!A19,'American Calculations'!$Y$2:$Y$21))</f>
        <v/>
      </c>
      <c r="E19" s="15" t="str" cm="1">
        <f t="array" ref="E19">IF(A19="","",_FV(B19,"Price"))</f>
        <v/>
      </c>
      <c r="F19" s="16" t="str" cm="1">
        <f t="array" ref="F19">IF(A19="","",_FV(B19,"Change"))</f>
        <v/>
      </c>
      <c r="G19" s="16" t="str">
        <f t="shared" si="0"/>
        <v/>
      </c>
      <c r="H19" s="6" t="str">
        <f>IF(A19="","",SUMIF('American Calculations'!$U$2:$U$21,'American Portfolio'!A19,'American Calculations'!$X$2:$X$21))</f>
        <v/>
      </c>
      <c r="I19" s="15" t="str">
        <f t="shared" si="1"/>
        <v/>
      </c>
      <c r="J19" s="15" t="str">
        <f t="shared" si="2"/>
        <v/>
      </c>
      <c r="K19" s="16" t="str">
        <f>IF(A19="","",SUMIF('American Calculations'!$U$2:$U$21,'American Portfolio'!A19,'American Calculations'!$V$2:$V$21))</f>
        <v/>
      </c>
      <c r="L19" s="71" t="str">
        <f>IF(A19="","",SUMIF(Dividend!$A$1:$A$289,'American Portfolio'!A19,Dividend!$B$1:$B$289))</f>
        <v/>
      </c>
    </row>
    <row r="20" spans="1:12" x14ac:dyDescent="0.3">
      <c r="A20" s="4" t="str">
        <f>IF('American Calculations'!O20="","",'American Calculations'!O20)</f>
        <v/>
      </c>
      <c r="B20" s="5" t="s">
        <v>101</v>
      </c>
      <c r="C20" s="5" t="str">
        <f>IF(A20="","",SUMIF('American Calculations'!$U$2:$U$21,'American Portfolio'!A20,'American Calculations'!$W$2:$W$21))</f>
        <v/>
      </c>
      <c r="D20" s="6" t="str">
        <f>IF(A20="","",SUMIF('American Calculations'!$U$2:$U$21,'American Portfolio'!A20,'American Calculations'!$Y$2:$Y$21))</f>
        <v/>
      </c>
      <c r="E20" s="15" t="str" cm="1">
        <f t="array" ref="E20">IF(A20="","",_FV(B20,"Price"))</f>
        <v/>
      </c>
      <c r="F20" s="16" t="str" cm="1">
        <f t="array" ref="F20">IF(A20="","",_FV(B20,"Change"))</f>
        <v/>
      </c>
      <c r="G20" s="16" t="str">
        <f t="shared" si="0"/>
        <v/>
      </c>
      <c r="H20" s="6" t="str">
        <f>IF(A20="","",SUMIF('American Calculations'!$U$2:$U$21,'American Portfolio'!A20,'American Calculations'!$X$2:$X$21))</f>
        <v/>
      </c>
      <c r="I20" s="15" t="str">
        <f t="shared" si="1"/>
        <v/>
      </c>
      <c r="J20" s="15" t="str">
        <f t="shared" si="2"/>
        <v/>
      </c>
      <c r="K20" s="16" t="str">
        <f>IF(A20="","",SUMIF('American Calculations'!$U$2:$U$21,'American Portfolio'!A20,'American Calculations'!$V$2:$V$21))</f>
        <v/>
      </c>
      <c r="L20" s="71" t="str">
        <f>IF(A20="","",SUMIF(Dividend!$A$1:$A$289,'American Portfolio'!A20,Dividend!$B$1:$B$289))</f>
        <v/>
      </c>
    </row>
    <row r="21" spans="1:12" ht="15" thickBot="1" x14ac:dyDescent="0.35">
      <c r="A21" s="7"/>
      <c r="B21" s="8" t="s">
        <v>101</v>
      </c>
      <c r="C21" s="8" t="str">
        <f>IF(A21="","",'American Calculations'!Q21)</f>
        <v/>
      </c>
      <c r="D21" s="9" t="str">
        <f>IF(A21="","",'American Calculations'!S21)</f>
        <v/>
      </c>
      <c r="E21" s="48" t="str" cm="1">
        <f t="array" ref="E21">IF(A21="","",_FV(B21,"Price"))</f>
        <v/>
      </c>
      <c r="F21" s="49" t="str" cm="1">
        <f t="array" ref="F21">IF(A21="","",_FV(B21,"Change"))</f>
        <v/>
      </c>
      <c r="G21" s="49" t="str">
        <f t="shared" si="0"/>
        <v/>
      </c>
      <c r="H21" s="9" t="s">
        <v>128</v>
      </c>
      <c r="I21" s="48">
        <v>34.130000000000003</v>
      </c>
      <c r="J21" s="48"/>
      <c r="K21" s="49" t="str">
        <f>IF(A21="","",'American Calculations'!P21)</f>
        <v/>
      </c>
      <c r="L21" s="72"/>
    </row>
    <row r="22" spans="1:12" ht="15" thickBot="1" x14ac:dyDescent="0.35">
      <c r="H22" s="67" t="s">
        <v>103</v>
      </c>
      <c r="I22" s="68">
        <f>SUM(I2:I21)</f>
        <v>1278.9141082455003</v>
      </c>
      <c r="J22" s="67"/>
      <c r="K22" s="69"/>
    </row>
  </sheetData>
  <conditionalFormatting sqref="G2:G21">
    <cfRule type="cellIs" dxfId="5" priority="5" operator="greaterThan">
      <formula>0</formula>
    </cfRule>
    <cfRule type="cellIs" dxfId="4" priority="6" operator="lessThan">
      <formula>0</formula>
    </cfRule>
  </conditionalFormatting>
  <conditionalFormatting sqref="J2:J21">
    <cfRule type="cellIs" dxfId="3" priority="3" operator="greaterThan">
      <formula>0</formula>
    </cfRule>
    <cfRule type="cellIs" dxfId="2" priority="4" operator="lessThan">
      <formula>0</formula>
    </cfRule>
  </conditionalFormatting>
  <conditionalFormatting sqref="K2:K21">
    <cfRule type="cellIs" dxfId="1" priority="1" operator="greaterThan">
      <formula>0</formula>
    </cfRule>
    <cfRule type="cellIs" dxfId="0" priority="2" operator="lessThan">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85C4A7B-CD07-4129-8A78-FFD94BA923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Completed Transactions</vt:lpstr>
      <vt:lpstr>Investments</vt:lpstr>
      <vt:lpstr>Portfolio Value Tracker</vt:lpstr>
      <vt:lpstr>Australian Transactions</vt:lpstr>
      <vt:lpstr>AUS Calculations</vt:lpstr>
      <vt:lpstr>Australian Portfolio</vt:lpstr>
      <vt:lpstr>Dividend</vt:lpstr>
      <vt:lpstr>Joint Portfolio</vt:lpstr>
      <vt:lpstr>American Transactions</vt:lpstr>
      <vt:lpstr>American Calculations</vt:lpstr>
      <vt:lpstr>American Portfolio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Charge</dc:creator>
  <cp:lastModifiedBy>James Charge</cp:lastModifiedBy>
  <dcterms:created xsi:type="dcterms:W3CDTF">2020-04-02T05:46:45Z</dcterms:created>
  <dcterms:modified xsi:type="dcterms:W3CDTF">2020-09-15T12:14:12Z</dcterms:modified>
</cp:coreProperties>
</file>